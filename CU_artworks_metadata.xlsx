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lass_counts" sheetId="2" state="visible" r:id="rId2"/>
    <sheet xmlns:r="http://schemas.openxmlformats.org/officeDocument/2006/relationships" name="label_guide" sheetId="3" state="visible" r:id="rId3"/>
  </sheets>
  <definedNames>
    <definedName name="_xlnm._FilterDatabase" localSheetId="0" hidden="1">'metadata'!$A$1:$L$187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i val="1"/>
      <color rgb="00595959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1" pivotButton="0" quotePrefix="0" xfId="0"/>
    <xf numFmtId="0" fontId="2" fillId="0" borderId="0" pivotButton="0" quotePrefix="0" xfId="0"/>
    <xf numFmtId="0" fontId="1" fillId="2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ont>
        <color rgb="00808080"/>
      </font>
      <fill>
        <patternFill patternType="solid">
          <fgColor rgb="00F2F2F2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44" customWidth="1" min="3" max="3"/>
    <col width="26" customWidth="1" min="4" max="4"/>
    <col width="34" customWidth="1" min="5" max="5"/>
    <col width="7" customWidth="1" min="6" max="6"/>
    <col width="12" customWidth="1" min="7" max="7"/>
    <col width="15" customWidth="1" min="8" max="8"/>
    <col width="11" customWidth="1" min="9" max="9"/>
    <col width="12" customWidth="1" min="10" max="10"/>
    <col width="8" customWidth="1" min="11" max="11"/>
    <col width="52" customWidth="1" min="12" max="12"/>
  </cols>
  <sheetData>
    <row r="1">
      <c r="A1" s="1" t="inlineStr">
        <is>
          <t>image_id</t>
        </is>
      </c>
      <c r="B1" s="1" t="inlineStr">
        <is>
          <t>artwork_id</t>
        </is>
      </c>
      <c r="C1" s="1" t="inlineStr">
        <is>
          <t>original_file</t>
        </is>
      </c>
      <c r="D1" s="1" t="inlineStr">
        <is>
          <t>artist</t>
        </is>
      </c>
      <c r="E1" s="1" t="inlineStr">
        <is>
          <t>title</t>
        </is>
      </c>
      <c r="F1" s="1" t="inlineStr">
        <is>
          <t>year</t>
        </is>
      </c>
      <c r="G1" s="1" t="inlineStr">
        <is>
          <t>genre</t>
        </is>
      </c>
      <c r="H1" s="1" t="inlineStr">
        <is>
          <t>medium</t>
        </is>
      </c>
      <c r="I1" s="1" t="inlineStr">
        <is>
          <t>label_confidence</t>
        </is>
      </c>
      <c r="J1" s="1" t="inlineStr">
        <is>
          <t>photo_quality</t>
        </is>
      </c>
      <c r="K1" s="1" t="inlineStr">
        <is>
          <t>include</t>
        </is>
      </c>
      <c r="L1" s="1" t="inlineStr">
        <is>
          <t>notes</t>
        </is>
      </c>
    </row>
    <row r="2">
      <c r="A2" s="2" t="inlineStr">
        <is>
          <t>A001-1</t>
        </is>
      </c>
      <c r="B2" s="2" t="inlineStr">
        <is>
          <t>A001</t>
        </is>
      </c>
      <c r="C2" s="2" t="inlineStr">
        <is>
          <t>Tengiz Mirzashvili"Chubchika".JPG</t>
        </is>
      </c>
      <c r="D2" s="2" t="inlineStr">
        <is>
          <t>Tengiz Mirzashvili</t>
        </is>
      </c>
      <c r="E2" s="2" t="inlineStr">
        <is>
          <t>Chubchika</t>
        </is>
      </c>
      <c r="F2" s="2" t="inlineStr"/>
      <c r="G2" s="2" t="inlineStr">
        <is>
          <t>landscape</t>
        </is>
      </c>
      <c r="H2" s="2" t="inlineStr">
        <is>
          <t>painting</t>
        </is>
      </c>
      <c r="I2" s="2" t="inlineStr">
        <is>
          <t>high</t>
        </is>
      </c>
      <c r="J2" s="2" t="inlineStr">
        <is>
          <t>ok</t>
        </is>
      </c>
      <c r="K2" s="2" t="inlineStr">
        <is>
          <t>yes</t>
        </is>
      </c>
      <c r="L2" s="2" t="inlineStr">
        <is>
          <t>village with blossoming trees</t>
        </is>
      </c>
    </row>
    <row r="3">
      <c r="A3" s="2" t="inlineStr">
        <is>
          <t>A002-1</t>
        </is>
      </c>
      <c r="B3" s="2" t="inlineStr">
        <is>
          <t>A002</t>
        </is>
      </c>
      <c r="C3" s="2" t="inlineStr">
        <is>
          <t>Temur Kadagishvili, "Landscape. Oaks", 2024.JPG</t>
        </is>
      </c>
      <c r="D3" s="2" t="inlineStr">
        <is>
          <t>Temur Kadagishvili</t>
        </is>
      </c>
      <c r="E3" s="2" t="inlineStr">
        <is>
          <t>Landscape. Oaks</t>
        </is>
      </c>
      <c r="F3" s="2" t="n">
        <v>2024</v>
      </c>
      <c r="G3" s="2" t="inlineStr">
        <is>
          <t>landscape</t>
        </is>
      </c>
      <c r="H3" s="2" t="inlineStr">
        <is>
          <t>painting</t>
        </is>
      </c>
      <c r="I3" s="2" t="inlineStr">
        <is>
          <t>high</t>
        </is>
      </c>
      <c r="J3" s="2" t="inlineStr">
        <is>
          <t>ok</t>
        </is>
      </c>
      <c r="K3" s="2" t="inlineStr">
        <is>
          <t>yes</t>
        </is>
      </c>
      <c r="L3" s="2" t="inlineStr"/>
    </row>
    <row r="4">
      <c r="A4" s="2" t="inlineStr">
        <is>
          <t>A003-1</t>
        </is>
      </c>
      <c r="B4" s="2" t="inlineStr">
        <is>
          <t>A003</t>
        </is>
      </c>
      <c r="C4" s="2" t="inlineStr">
        <is>
          <t>Heather-Dawn SCott , untitled.JPG</t>
        </is>
      </c>
      <c r="D4" s="2" t="inlineStr">
        <is>
          <t>Heather-Dawn Scott</t>
        </is>
      </c>
      <c r="E4" s="2" t="inlineStr">
        <is>
          <t>Untitled</t>
        </is>
      </c>
      <c r="F4" s="2" t="inlineStr"/>
      <c r="G4" s="2" t="inlineStr">
        <is>
          <t>portrait</t>
        </is>
      </c>
      <c r="H4" s="2" t="inlineStr">
        <is>
          <t>painting</t>
        </is>
      </c>
      <c r="I4" s="2" t="inlineStr">
        <is>
          <t>low</t>
        </is>
      </c>
      <c r="J4" s="2" t="inlineStr">
        <is>
          <t>ok</t>
        </is>
      </c>
      <c r="K4" s="2" t="inlineStr">
        <is>
          <t>yes</t>
        </is>
      </c>
      <c r="L4" s="2" t="inlineStr">
        <is>
          <t>seated half-length figure</t>
        </is>
      </c>
    </row>
    <row r="5">
      <c r="A5" s="2" t="inlineStr">
        <is>
          <t>A004-1</t>
        </is>
      </c>
      <c r="B5" s="2" t="inlineStr">
        <is>
          <t>A004</t>
        </is>
      </c>
      <c r="C5" s="2" t="inlineStr">
        <is>
          <t>IMG_8505.JPG</t>
        </is>
      </c>
      <c r="D5" s="2" t="inlineStr"/>
      <c r="E5" s="2" t="inlineStr"/>
      <c r="F5" s="2" t="inlineStr"/>
      <c r="G5" s="2" t="inlineStr">
        <is>
          <t>landscape</t>
        </is>
      </c>
      <c r="H5" s="2" t="inlineStr">
        <is>
          <t>painting</t>
        </is>
      </c>
      <c r="I5" s="2" t="inlineStr">
        <is>
          <t>high</t>
        </is>
      </c>
      <c r="J5" s="2" t="inlineStr">
        <is>
          <t>ok</t>
        </is>
      </c>
      <c r="K5" s="2" t="inlineStr">
        <is>
          <t>yes</t>
        </is>
      </c>
      <c r="L5" s="2" t="inlineStr">
        <is>
          <t>houses on water (cityscape)</t>
        </is>
      </c>
    </row>
    <row r="6">
      <c r="A6" s="2" t="inlineStr">
        <is>
          <t>A005-1</t>
        </is>
      </c>
      <c r="B6" s="2" t="inlineStr">
        <is>
          <t>A005</t>
        </is>
      </c>
      <c r="C6" s="2" t="inlineStr">
        <is>
          <t>Ushangi Khumarashvili, Abstraction, 2017.JPG</t>
        </is>
      </c>
      <c r="D6" s="2" t="inlineStr">
        <is>
          <t>Ushangi Khumarashvili</t>
        </is>
      </c>
      <c r="E6" s="2" t="inlineStr">
        <is>
          <t>Abstraction</t>
        </is>
      </c>
      <c r="F6" s="2" t="n">
        <v>2017</v>
      </c>
      <c r="G6" s="2" t="inlineStr">
        <is>
          <t>abstract</t>
        </is>
      </c>
      <c r="H6" s="2" t="inlineStr">
        <is>
          <t>painting</t>
        </is>
      </c>
      <c r="I6" s="2" t="inlineStr">
        <is>
          <t>high</t>
        </is>
      </c>
      <c r="J6" s="2" t="inlineStr">
        <is>
          <t>ok</t>
        </is>
      </c>
      <c r="K6" s="2" t="inlineStr">
        <is>
          <t>yes</t>
        </is>
      </c>
      <c r="L6" s="2" t="inlineStr"/>
    </row>
    <row r="7">
      <c r="A7" s="2" t="inlineStr">
        <is>
          <t>A006-1</t>
        </is>
      </c>
      <c r="B7" s="2" t="inlineStr">
        <is>
          <t>A006</t>
        </is>
      </c>
      <c r="C7" s="2" t="inlineStr">
        <is>
          <t>Ushangi Khumarashvili, Abstraction, 2010.JPG</t>
        </is>
      </c>
      <c r="D7" s="2" t="inlineStr">
        <is>
          <t>Ushangi Khumarashvili</t>
        </is>
      </c>
      <c r="E7" s="2" t="inlineStr">
        <is>
          <t>Abstraction</t>
        </is>
      </c>
      <c r="F7" s="2" t="n">
        <v>2010</v>
      </c>
      <c r="G7" s="2" t="inlineStr">
        <is>
          <t>abstract</t>
        </is>
      </c>
      <c r="H7" s="2" t="inlineStr">
        <is>
          <t>painting</t>
        </is>
      </c>
      <c r="I7" s="2" t="inlineStr">
        <is>
          <t>high</t>
        </is>
      </c>
      <c r="J7" s="2" t="inlineStr">
        <is>
          <t>ok</t>
        </is>
      </c>
      <c r="K7" s="2" t="inlineStr">
        <is>
          <t>yes</t>
        </is>
      </c>
      <c r="L7" s="2" t="inlineStr"/>
    </row>
    <row r="8">
      <c r="A8" s="2" t="inlineStr">
        <is>
          <t>A007-1</t>
        </is>
      </c>
      <c r="B8" s="2" t="inlineStr">
        <is>
          <t>A007</t>
        </is>
      </c>
      <c r="C8" s="2" t="inlineStr">
        <is>
          <t>IMG_8506.JPG</t>
        </is>
      </c>
      <c r="D8" s="2" t="inlineStr"/>
      <c r="E8" s="2" t="inlineStr"/>
      <c r="F8" s="2" t="inlineStr"/>
      <c r="G8" s="2" t="inlineStr">
        <is>
          <t>figurative</t>
        </is>
      </c>
      <c r="H8" s="2" t="inlineStr">
        <is>
          <t>painting</t>
        </is>
      </c>
      <c r="I8" s="2" t="inlineStr">
        <is>
          <t>high</t>
        </is>
      </c>
      <c r="J8" s="2" t="inlineStr">
        <is>
          <t>ok</t>
        </is>
      </c>
      <c r="K8" s="2" t="inlineStr">
        <is>
          <t>yes</t>
        </is>
      </c>
      <c r="L8" s="2" t="inlineStr">
        <is>
          <t>three children</t>
        </is>
      </c>
    </row>
    <row r="9">
      <c r="A9" s="2" t="inlineStr">
        <is>
          <t>A008-1</t>
        </is>
      </c>
      <c r="B9" s="2" t="inlineStr">
        <is>
          <t>A008</t>
        </is>
      </c>
      <c r="C9" s="2" t="inlineStr">
        <is>
          <t>Ushangi Khumarashvili, Abstraction.JPG</t>
        </is>
      </c>
      <c r="D9" s="2" t="inlineStr">
        <is>
          <t>Ushangi Khumarashvili</t>
        </is>
      </c>
      <c r="E9" s="2" t="inlineStr">
        <is>
          <t>Abstraction</t>
        </is>
      </c>
      <c r="F9" s="2" t="inlineStr"/>
      <c r="G9" s="2" t="inlineStr">
        <is>
          <t>abstract</t>
        </is>
      </c>
      <c r="H9" s="2" t="inlineStr">
        <is>
          <t>painting</t>
        </is>
      </c>
      <c r="I9" s="2" t="inlineStr">
        <is>
          <t>high</t>
        </is>
      </c>
      <c r="J9" s="2" t="inlineStr">
        <is>
          <t>ok</t>
        </is>
      </c>
      <c r="K9" s="2" t="inlineStr">
        <is>
          <t>yes</t>
        </is>
      </c>
      <c r="L9" s="2" t="inlineStr"/>
    </row>
    <row r="10">
      <c r="A10" s="2" t="inlineStr">
        <is>
          <t>A009-1</t>
        </is>
      </c>
      <c r="B10" s="2" t="inlineStr">
        <is>
          <t>A009</t>
        </is>
      </c>
      <c r="C10" s="2" t="inlineStr">
        <is>
          <t>Ushangi Khumarashvili, Abstraction-2.JPG</t>
        </is>
      </c>
      <c r="D10" s="2" t="inlineStr">
        <is>
          <t>Ushangi Khumarashvili</t>
        </is>
      </c>
      <c r="E10" s="2" t="inlineStr">
        <is>
          <t>Abstraction-2</t>
        </is>
      </c>
      <c r="F10" s="2" t="inlineStr"/>
      <c r="G10" s="2" t="inlineStr">
        <is>
          <t>abstract</t>
        </is>
      </c>
      <c r="H10" s="2" t="inlineStr">
        <is>
          <t>painting</t>
        </is>
      </c>
      <c r="I10" s="2" t="inlineStr">
        <is>
          <t>high</t>
        </is>
      </c>
      <c r="J10" s="2" t="inlineStr">
        <is>
          <t>ok</t>
        </is>
      </c>
      <c r="K10" s="2" t="inlineStr">
        <is>
          <t>yes</t>
        </is>
      </c>
      <c r="L10" s="2" t="inlineStr"/>
    </row>
    <row r="11">
      <c r="A11" s="2" t="inlineStr">
        <is>
          <t>A010-1</t>
        </is>
      </c>
      <c r="B11" s="2" t="inlineStr">
        <is>
          <t>A010</t>
        </is>
      </c>
      <c r="C11" s="2" t="inlineStr">
        <is>
          <t>IMG_8507.JPG</t>
        </is>
      </c>
      <c r="D11" s="2" t="inlineStr"/>
      <c r="E11" s="2" t="inlineStr"/>
      <c r="F11" s="2" t="inlineStr"/>
      <c r="G11" s="2" t="inlineStr">
        <is>
          <t>figurative</t>
        </is>
      </c>
      <c r="H11" s="2" t="inlineStr">
        <is>
          <t>painting</t>
        </is>
      </c>
      <c r="I11" s="2" t="inlineStr">
        <is>
          <t>high</t>
        </is>
      </c>
      <c r="J11" s="2" t="inlineStr">
        <is>
          <t>ok</t>
        </is>
      </c>
      <c r="K11" s="2" t="inlineStr">
        <is>
          <t>yes</t>
        </is>
      </c>
      <c r="L11" s="2" t="inlineStr">
        <is>
          <t>single standing figure</t>
        </is>
      </c>
    </row>
    <row r="12">
      <c r="A12" s="2" t="inlineStr">
        <is>
          <t>A011-1</t>
        </is>
      </c>
      <c r="B12" s="2" t="inlineStr">
        <is>
          <t>A011</t>
        </is>
      </c>
      <c r="C12" s="2" t="inlineStr">
        <is>
          <t>IMG_8508.JPG</t>
        </is>
      </c>
      <c r="D12" s="2" t="inlineStr"/>
      <c r="E12" s="2" t="inlineStr"/>
      <c r="F12" s="2" t="inlineStr"/>
      <c r="G12" s="2" t="inlineStr">
        <is>
          <t>landscape</t>
        </is>
      </c>
      <c r="H12" s="2" t="inlineStr">
        <is>
          <t>painting</t>
        </is>
      </c>
      <c r="I12" s="2" t="inlineStr">
        <is>
          <t>low</t>
        </is>
      </c>
      <c r="J12" s="2" t="inlineStr">
        <is>
          <t>ok</t>
        </is>
      </c>
      <c r="K12" s="2" t="inlineStr">
        <is>
          <t>yes</t>
        </is>
      </c>
      <c r="L12" s="2" t="inlineStr">
        <is>
          <t>village with large crowd; landscape vs figurative</t>
        </is>
      </c>
    </row>
    <row r="13">
      <c r="A13" s="2" t="inlineStr">
        <is>
          <t>A012-1</t>
        </is>
      </c>
      <c r="B13" s="2" t="inlineStr">
        <is>
          <t>A012</t>
        </is>
      </c>
      <c r="C13" s="2" t="inlineStr">
        <is>
          <t>Ushangi Khumarashvili, "Red Sun", 2013.JPG</t>
        </is>
      </c>
      <c r="D13" s="2" t="inlineStr">
        <is>
          <t>Ushangi Khumarashvili</t>
        </is>
      </c>
      <c r="E13" s="2" t="inlineStr">
        <is>
          <t>Red Sun</t>
        </is>
      </c>
      <c r="F13" s="2" t="n">
        <v>2013</v>
      </c>
      <c r="G13" s="2" t="inlineStr">
        <is>
          <t>abstract</t>
        </is>
      </c>
      <c r="H13" s="2" t="inlineStr">
        <is>
          <t>painting</t>
        </is>
      </c>
      <c r="I13" s="2" t="inlineStr">
        <is>
          <t>high</t>
        </is>
      </c>
      <c r="J13" s="2" t="inlineStr">
        <is>
          <t>ok</t>
        </is>
      </c>
      <c r="K13" s="2" t="inlineStr">
        <is>
          <t>yes</t>
        </is>
      </c>
      <c r="L13" s="2" t="inlineStr"/>
    </row>
    <row r="14">
      <c r="A14" s="2" t="inlineStr">
        <is>
          <t>A013-1</t>
        </is>
      </c>
      <c r="B14" s="2" t="inlineStr">
        <is>
          <t>A013</t>
        </is>
      </c>
      <c r="C14" s="2" t="inlineStr">
        <is>
          <t>IMG_8509.JPG</t>
        </is>
      </c>
      <c r="D14" s="2" t="inlineStr"/>
      <c r="E14" s="2" t="inlineStr"/>
      <c r="F14" s="2" t="inlineStr"/>
      <c r="G14" s="2" t="inlineStr">
        <is>
          <t>figurative</t>
        </is>
      </c>
      <c r="H14" s="2" t="inlineStr">
        <is>
          <t>painting</t>
        </is>
      </c>
      <c r="I14" s="2" t="inlineStr">
        <is>
          <t>high</t>
        </is>
      </c>
      <c r="J14" s="2" t="inlineStr">
        <is>
          <t>ok</t>
        </is>
      </c>
      <c r="K14" s="2" t="inlineStr">
        <is>
          <t>yes</t>
        </is>
      </c>
      <c r="L14" s="2" t="inlineStr">
        <is>
          <t>group of figures</t>
        </is>
      </c>
    </row>
    <row r="15">
      <c r="A15" s="2" t="inlineStr">
        <is>
          <t>A014-1</t>
        </is>
      </c>
      <c r="B15" s="2" t="inlineStr">
        <is>
          <t>A014</t>
        </is>
      </c>
      <c r="C15" s="2" t="inlineStr">
        <is>
          <t>George Alexi-Meskhishvili, "Window".JPG</t>
        </is>
      </c>
      <c r="D15" s="2" t="inlineStr">
        <is>
          <t>George Alexi-Meskhishvili</t>
        </is>
      </c>
      <c r="E15" s="2" t="inlineStr">
        <is>
          <t>Window</t>
        </is>
      </c>
      <c r="F15" s="2" t="inlineStr"/>
      <c r="G15" s="2" t="inlineStr">
        <is>
          <t>abstract</t>
        </is>
      </c>
      <c r="H15" s="2" t="inlineStr">
        <is>
          <t>mixed_media</t>
        </is>
      </c>
      <c r="I15" s="2" t="inlineStr">
        <is>
          <t>low</t>
        </is>
      </c>
      <c r="J15" s="2" t="inlineStr">
        <is>
          <t>reflection</t>
        </is>
      </c>
      <c r="K15" s="2" t="inlineStr">
        <is>
          <t>yes</t>
        </is>
      </c>
      <c r="L15" s="2" t="inlineStr">
        <is>
          <t>window/glass work</t>
        </is>
      </c>
    </row>
    <row r="16">
      <c r="A16" s="2" t="inlineStr">
        <is>
          <t>A015-1</t>
        </is>
      </c>
      <c r="B16" s="2" t="inlineStr">
        <is>
          <t>A015</t>
        </is>
      </c>
      <c r="C16" s="2" t="inlineStr">
        <is>
          <t>IMG_8510.JPG</t>
        </is>
      </c>
      <c r="D16" s="2" t="inlineStr"/>
      <c r="E16" s="2" t="inlineStr"/>
      <c r="F16" s="2" t="inlineStr"/>
      <c r="G16" s="2" t="inlineStr">
        <is>
          <t>figurative</t>
        </is>
      </c>
      <c r="H16" s="2" t="inlineStr">
        <is>
          <t>painting</t>
        </is>
      </c>
      <c r="I16" s="2" t="inlineStr">
        <is>
          <t>high</t>
        </is>
      </c>
      <c r="J16" s="2" t="inlineStr">
        <is>
          <t>ok</t>
        </is>
      </c>
      <c r="K16" s="2" t="inlineStr">
        <is>
          <t>yes</t>
        </is>
      </c>
      <c r="L16" s="2" t="inlineStr">
        <is>
          <t>dancers</t>
        </is>
      </c>
    </row>
    <row r="17">
      <c r="A17" s="2" t="inlineStr">
        <is>
          <t>A016-1</t>
        </is>
      </c>
      <c r="B17" s="2" t="inlineStr">
        <is>
          <t>A016</t>
        </is>
      </c>
      <c r="C17" s="2" t="inlineStr">
        <is>
          <t>Janri Lolashvili, Untitled, 2022.JPG</t>
        </is>
      </c>
      <c r="D17" s="2" t="inlineStr">
        <is>
          <t>Janri Lolashvili</t>
        </is>
      </c>
      <c r="E17" s="2" t="inlineStr">
        <is>
          <t>Untitled</t>
        </is>
      </c>
      <c r="F17" s="2" t="n">
        <v>2022</v>
      </c>
      <c r="G17" s="2" t="inlineStr">
        <is>
          <t>landscape</t>
        </is>
      </c>
      <c r="H17" s="2" t="inlineStr">
        <is>
          <t>painting</t>
        </is>
      </c>
      <c r="I17" s="2" t="inlineStr">
        <is>
          <t>low</t>
        </is>
      </c>
      <c r="J17" s="2" t="inlineStr">
        <is>
          <t>angle</t>
        </is>
      </c>
      <c r="K17" s="2" t="inlineStr">
        <is>
          <t>yes</t>
        </is>
      </c>
      <c r="L17" s="2" t="inlineStr">
        <is>
          <t>semi-abstract cloudscape</t>
        </is>
      </c>
    </row>
    <row r="18">
      <c r="A18" s="2" t="inlineStr">
        <is>
          <t>A017-1</t>
        </is>
      </c>
      <c r="B18" s="2" t="inlineStr">
        <is>
          <t>A017</t>
        </is>
      </c>
      <c r="C18" s="2" t="inlineStr">
        <is>
          <t>IMG_8511.JPG</t>
        </is>
      </c>
      <c r="D18" s="2" t="inlineStr"/>
      <c r="E18" s="2" t="inlineStr"/>
      <c r="F18" s="2" t="inlineStr"/>
      <c r="G18" s="2" t="inlineStr">
        <is>
          <t>figurative</t>
        </is>
      </c>
      <c r="H18" s="2" t="inlineStr">
        <is>
          <t>painting</t>
        </is>
      </c>
      <c r="I18" s="2" t="inlineStr">
        <is>
          <t>low</t>
        </is>
      </c>
      <c r="J18" s="2" t="inlineStr">
        <is>
          <t>ok</t>
        </is>
      </c>
      <c r="K18" s="2" t="inlineStr">
        <is>
          <t>yes</t>
        </is>
      </c>
      <c r="L18" s="2" t="inlineStr">
        <is>
          <t>crowd, close to abstract</t>
        </is>
      </c>
    </row>
    <row r="19">
      <c r="A19" s="2" t="inlineStr">
        <is>
          <t>A018-1</t>
        </is>
      </c>
      <c r="B19" s="2" t="inlineStr">
        <is>
          <t>A018</t>
        </is>
      </c>
      <c r="C19" s="2" t="inlineStr">
        <is>
          <t>Koka Tskhvediani, Untitled.JPG</t>
        </is>
      </c>
      <c r="D19" s="2" t="inlineStr">
        <is>
          <t>Koka Tskhvediani</t>
        </is>
      </c>
      <c r="E19" s="2" t="inlineStr">
        <is>
          <t>Untitled</t>
        </is>
      </c>
      <c r="F19" s="2" t="inlineStr"/>
      <c r="G19" s="2" t="inlineStr">
        <is>
          <t>abstract</t>
        </is>
      </c>
      <c r="H19" s="2" t="inlineStr">
        <is>
          <t>painting</t>
        </is>
      </c>
      <c r="I19" s="2" t="inlineStr">
        <is>
          <t>high</t>
        </is>
      </c>
      <c r="J19" s="2" t="inlineStr">
        <is>
          <t>glare</t>
        </is>
      </c>
      <c r="K19" s="2" t="inlineStr">
        <is>
          <t>yes</t>
        </is>
      </c>
      <c r="L19" s="2" t="inlineStr"/>
    </row>
    <row r="20">
      <c r="A20" s="2" t="inlineStr">
        <is>
          <t>A019-1</t>
        </is>
      </c>
      <c r="B20" s="2" t="inlineStr">
        <is>
          <t>A019</t>
        </is>
      </c>
      <c r="C20" s="2" t="inlineStr">
        <is>
          <t>IMG_8512.JPG</t>
        </is>
      </c>
      <c r="D20" s="2" t="inlineStr"/>
      <c r="E20" s="2" t="inlineStr"/>
      <c r="F20" s="2" t="inlineStr"/>
      <c r="G20" s="2" t="inlineStr">
        <is>
          <t>landscape</t>
        </is>
      </c>
      <c r="H20" s="2" t="inlineStr">
        <is>
          <t>painting</t>
        </is>
      </c>
      <c r="I20" s="2" t="inlineStr">
        <is>
          <t>high</t>
        </is>
      </c>
      <c r="J20" s="2" t="inlineStr">
        <is>
          <t>ok</t>
        </is>
      </c>
      <c r="K20" s="2" t="inlineStr">
        <is>
          <t>yes</t>
        </is>
      </c>
      <c r="L20" s="2" t="inlineStr">
        <is>
          <t>village</t>
        </is>
      </c>
    </row>
    <row r="21">
      <c r="A21" s="2" t="inlineStr">
        <is>
          <t>A020-1</t>
        </is>
      </c>
      <c r="B21" s="2" t="inlineStr">
        <is>
          <t>A020</t>
        </is>
      </c>
      <c r="C21" s="2" t="inlineStr">
        <is>
          <t>Niko TseTskhladze, "Café", 2013.JPG</t>
        </is>
      </c>
      <c r="D21" s="2" t="inlineStr">
        <is>
          <t>Niko Tsetskhladze</t>
        </is>
      </c>
      <c r="E21" s="2" t="inlineStr">
        <is>
          <t>Cafe</t>
        </is>
      </c>
      <c r="F21" s="2" t="n">
        <v>2013</v>
      </c>
      <c r="G21" s="2" t="inlineStr">
        <is>
          <t>figurative</t>
        </is>
      </c>
      <c r="H21" s="2" t="inlineStr">
        <is>
          <t>painting</t>
        </is>
      </c>
      <c r="I21" s="2" t="inlineStr">
        <is>
          <t>high</t>
        </is>
      </c>
      <c r="J21" s="2" t="inlineStr">
        <is>
          <t>ok</t>
        </is>
      </c>
      <c r="K21" s="2" t="inlineStr">
        <is>
          <t>yes</t>
        </is>
      </c>
      <c r="L21" s="2" t="inlineStr">
        <is>
          <t>bear in a cafe</t>
        </is>
      </c>
    </row>
    <row r="22">
      <c r="A22" s="2" t="inlineStr">
        <is>
          <t>A021-1</t>
        </is>
      </c>
      <c r="B22" s="2" t="inlineStr">
        <is>
          <t>A021</t>
        </is>
      </c>
      <c r="C22" s="2" t="inlineStr">
        <is>
          <t>IMG_8513.JPG</t>
        </is>
      </c>
      <c r="D22" s="2" t="inlineStr"/>
      <c r="E22" s="2" t="inlineStr"/>
      <c r="F22" s="2" t="inlineStr"/>
      <c r="G22" s="2" t="inlineStr">
        <is>
          <t>landscape</t>
        </is>
      </c>
      <c r="H22" s="2" t="inlineStr">
        <is>
          <t>painting</t>
        </is>
      </c>
      <c r="I22" s="2" t="inlineStr">
        <is>
          <t>high</t>
        </is>
      </c>
      <c r="J22" s="2" t="inlineStr">
        <is>
          <t>ok</t>
        </is>
      </c>
      <c r="K22" s="2" t="inlineStr">
        <is>
          <t>yes</t>
        </is>
      </c>
      <c r="L22" s="2" t="inlineStr">
        <is>
          <t>street with church</t>
        </is>
      </c>
    </row>
    <row r="23">
      <c r="A23" s="2" t="inlineStr">
        <is>
          <t>A022-1</t>
        </is>
      </c>
      <c r="B23" s="2" t="inlineStr">
        <is>
          <t>A022</t>
        </is>
      </c>
      <c r="C23" s="2" t="inlineStr">
        <is>
          <t>Ushangi Khumarashvili.JPG</t>
        </is>
      </c>
      <c r="D23" s="2" t="inlineStr">
        <is>
          <t>Ushangi Khumarashvili</t>
        </is>
      </c>
      <c r="E23" s="2" t="inlineStr"/>
      <c r="F23" s="2" t="inlineStr"/>
      <c r="G23" s="2" t="inlineStr">
        <is>
          <t>figurative</t>
        </is>
      </c>
      <c r="H23" s="2" t="inlineStr">
        <is>
          <t>painting</t>
        </is>
      </c>
      <c r="I23" s="2" t="inlineStr">
        <is>
          <t>low</t>
        </is>
      </c>
      <c r="J23" s="2" t="inlineStr">
        <is>
          <t>ok</t>
        </is>
      </c>
      <c r="K23" s="2" t="inlineStr">
        <is>
          <t>yes</t>
        </is>
      </c>
      <c r="L23" s="2" t="inlineStr">
        <is>
          <t>cafe interior, loose brushwork</t>
        </is>
      </c>
    </row>
    <row r="24">
      <c r="A24" s="2" t="inlineStr">
        <is>
          <t>A023-1</t>
        </is>
      </c>
      <c r="B24" s="2" t="inlineStr">
        <is>
          <t>A023</t>
        </is>
      </c>
      <c r="C24" s="2" t="inlineStr">
        <is>
          <t>IMG_8514.JPG</t>
        </is>
      </c>
      <c r="D24" s="2" t="inlineStr"/>
      <c r="E24" s="2" t="inlineStr"/>
      <c r="F24" s="2" t="inlineStr"/>
      <c r="G24" s="2" t="inlineStr">
        <is>
          <t>figurative</t>
        </is>
      </c>
      <c r="H24" s="2" t="inlineStr">
        <is>
          <t>painting</t>
        </is>
      </c>
      <c r="I24" s="2" t="inlineStr">
        <is>
          <t>high</t>
        </is>
      </c>
      <c r="J24" s="2" t="inlineStr">
        <is>
          <t>ok</t>
        </is>
      </c>
      <c r="K24" s="2" t="inlineStr">
        <is>
          <t>yes</t>
        </is>
      </c>
      <c r="L24" s="2" t="inlineStr">
        <is>
          <t>woman with umbrella</t>
        </is>
      </c>
    </row>
    <row r="25">
      <c r="A25" s="2" t="inlineStr">
        <is>
          <t>A024-1</t>
        </is>
      </c>
      <c r="B25" s="2" t="inlineStr">
        <is>
          <t>A024</t>
        </is>
      </c>
      <c r="C25" s="2" t="inlineStr">
        <is>
          <t>Temo Japaridze, Untitled.JPG</t>
        </is>
      </c>
      <c r="D25" s="2" t="inlineStr">
        <is>
          <t>Temo Japaridze</t>
        </is>
      </c>
      <c r="E25" s="2" t="inlineStr">
        <is>
          <t>Untitled</t>
        </is>
      </c>
      <c r="F25" s="2" t="inlineStr"/>
      <c r="G25" s="2" t="inlineStr">
        <is>
          <t>figurative</t>
        </is>
      </c>
      <c r="H25" s="2" t="inlineStr">
        <is>
          <t>painting</t>
        </is>
      </c>
      <c r="I25" s="2" t="inlineStr">
        <is>
          <t>high</t>
        </is>
      </c>
      <c r="J25" s="2" t="inlineStr">
        <is>
          <t>ok</t>
        </is>
      </c>
      <c r="K25" s="2" t="inlineStr">
        <is>
          <t>yes</t>
        </is>
      </c>
      <c r="L25" s="2" t="inlineStr">
        <is>
          <t>cafe scene</t>
        </is>
      </c>
    </row>
    <row r="26">
      <c r="A26" s="2" t="inlineStr">
        <is>
          <t>A025-1</t>
        </is>
      </c>
      <c r="B26" s="2" t="inlineStr">
        <is>
          <t>A025</t>
        </is>
      </c>
      <c r="C26" s="2" t="inlineStr">
        <is>
          <t>Levan Chogoshvili, "Aristocracy", 2020.JPG</t>
        </is>
      </c>
      <c r="D26" s="2" t="inlineStr">
        <is>
          <t>Levan Chogoshvili</t>
        </is>
      </c>
      <c r="E26" s="2" t="inlineStr">
        <is>
          <t>Aristocracy</t>
        </is>
      </c>
      <c r="F26" s="2" t="n">
        <v>2020</v>
      </c>
      <c r="G26" s="2" t="inlineStr">
        <is>
          <t>figurative</t>
        </is>
      </c>
      <c r="H26" s="2" t="inlineStr">
        <is>
          <t>mixed_media</t>
        </is>
      </c>
      <c r="I26" s="2" t="inlineStr">
        <is>
          <t>low</t>
        </is>
      </c>
      <c r="J26" s="2" t="inlineStr">
        <is>
          <t>glare</t>
        </is>
      </c>
      <c r="K26" s="2" t="inlineStr">
        <is>
          <t>yes</t>
        </is>
      </c>
      <c r="L26" s="2" t="inlineStr">
        <is>
          <t>collage with figures</t>
        </is>
      </c>
    </row>
    <row r="27">
      <c r="A27" s="2" t="inlineStr">
        <is>
          <t>A026-1</t>
        </is>
      </c>
      <c r="B27" s="2" t="inlineStr">
        <is>
          <t>A026</t>
        </is>
      </c>
      <c r="C27" s="2" t="inlineStr">
        <is>
          <t>Merab Tatalashvili, „Shedow café".JPG</t>
        </is>
      </c>
      <c r="D27" s="2" t="inlineStr">
        <is>
          <t>Merab Tatalashvili</t>
        </is>
      </c>
      <c r="E27" s="2" t="inlineStr">
        <is>
          <t>Shadow Cafe</t>
        </is>
      </c>
      <c r="F27" s="2" t="inlineStr"/>
      <c r="G27" s="2" t="inlineStr">
        <is>
          <t>abstract</t>
        </is>
      </c>
      <c r="H27" s="2" t="inlineStr">
        <is>
          <t>painting</t>
        </is>
      </c>
      <c r="I27" s="2" t="inlineStr">
        <is>
          <t>low</t>
        </is>
      </c>
      <c r="J27" s="2" t="inlineStr">
        <is>
          <t>ok</t>
        </is>
      </c>
      <c r="K27" s="2" t="inlineStr">
        <is>
          <t>yes</t>
        </is>
      </c>
      <c r="L27" s="2" t="inlineStr">
        <is>
          <t>semi-abstract cafe chairs</t>
        </is>
      </c>
    </row>
    <row r="28">
      <c r="A28" s="2" t="inlineStr">
        <is>
          <t>A027-1</t>
        </is>
      </c>
      <c r="B28" s="2" t="inlineStr">
        <is>
          <t>A027</t>
        </is>
      </c>
      <c r="C28" s="2" t="inlineStr">
        <is>
          <t>IMG_8515.JPG</t>
        </is>
      </c>
      <c r="D28" s="2" t="inlineStr"/>
      <c r="E28" s="2" t="inlineStr"/>
      <c r="F28" s="2" t="inlineStr"/>
      <c r="G28" s="2" t="inlineStr">
        <is>
          <t>landscape</t>
        </is>
      </c>
      <c r="H28" s="2" t="inlineStr">
        <is>
          <t>painting</t>
        </is>
      </c>
      <c r="I28" s="2" t="inlineStr">
        <is>
          <t>low</t>
        </is>
      </c>
      <c r="J28" s="2" t="inlineStr">
        <is>
          <t>ok</t>
        </is>
      </c>
      <c r="K28" s="2" t="inlineStr">
        <is>
          <t>yes</t>
        </is>
      </c>
      <c r="L28" s="2" t="inlineStr">
        <is>
          <t>Santorini; may be a print</t>
        </is>
      </c>
    </row>
    <row r="29">
      <c r="A29" s="2" t="inlineStr">
        <is>
          <t>A028-1</t>
        </is>
      </c>
      <c r="B29" s="2" t="inlineStr">
        <is>
          <t>A028</t>
        </is>
      </c>
      <c r="C29" s="2" t="inlineStr">
        <is>
          <t>Koka Tskhvediani, „Cyber Cafe", 2013.JPG</t>
        </is>
      </c>
      <c r="D29" s="2" t="inlineStr">
        <is>
          <t>Koka Tskhvediani</t>
        </is>
      </c>
      <c r="E29" s="2" t="inlineStr">
        <is>
          <t>Cyber Cafe</t>
        </is>
      </c>
      <c r="F29" s="2" t="n">
        <v>2013</v>
      </c>
      <c r="G29" s="2" t="inlineStr">
        <is>
          <t>abstract</t>
        </is>
      </c>
      <c r="H29" s="2" t="inlineStr">
        <is>
          <t>painting</t>
        </is>
      </c>
      <c r="I29" s="2" t="inlineStr">
        <is>
          <t>low</t>
        </is>
      </c>
      <c r="J29" s="2" t="inlineStr">
        <is>
          <t>ok</t>
        </is>
      </c>
      <c r="K29" s="2" t="inlineStr">
        <is>
          <t>yes</t>
        </is>
      </c>
      <c r="L29" s="2" t="inlineStr">
        <is>
          <t>semi-abstract building facade</t>
        </is>
      </c>
    </row>
    <row r="30">
      <c r="A30" s="2" t="inlineStr">
        <is>
          <t>A029-1</t>
        </is>
      </c>
      <c r="B30" s="2" t="inlineStr">
        <is>
          <t>A029</t>
        </is>
      </c>
      <c r="C30" s="2" t="inlineStr">
        <is>
          <t>Mzia Lekiashvili "At dawn".JPG</t>
        </is>
      </c>
      <c r="D30" s="2" t="inlineStr">
        <is>
          <t>Mzia Lekiashvili</t>
        </is>
      </c>
      <c r="E30" s="2" t="inlineStr">
        <is>
          <t>At Dawn</t>
        </is>
      </c>
      <c r="F30" s="2" t="inlineStr"/>
      <c r="G30" s="2" t="inlineStr">
        <is>
          <t>landscape</t>
        </is>
      </c>
      <c r="H30" s="2" t="inlineStr">
        <is>
          <t>painting</t>
        </is>
      </c>
      <c r="I30" s="2" t="inlineStr">
        <is>
          <t>low</t>
        </is>
      </c>
      <c r="J30" s="2" t="inlineStr">
        <is>
          <t>ok</t>
        </is>
      </c>
      <c r="K30" s="2" t="inlineStr">
        <is>
          <t>yes</t>
        </is>
      </c>
      <c r="L30" s="2" t="inlineStr">
        <is>
          <t>semi-abstract cityscape</t>
        </is>
      </c>
    </row>
    <row r="31">
      <c r="A31" s="2" t="inlineStr">
        <is>
          <t>A030-1</t>
        </is>
      </c>
      <c r="B31" s="2" t="inlineStr">
        <is>
          <t>A030</t>
        </is>
      </c>
      <c r="C31" s="2" t="inlineStr">
        <is>
          <t>IMG_0799.JPG</t>
        </is>
      </c>
      <c r="D31" s="2" t="inlineStr"/>
      <c r="E31" s="2" t="inlineStr"/>
      <c r="F31" s="2" t="inlineStr"/>
      <c r="G31" s="2" t="inlineStr">
        <is>
          <t>portrait</t>
        </is>
      </c>
      <c r="H31" s="2" t="inlineStr">
        <is>
          <t>painting</t>
        </is>
      </c>
      <c r="I31" s="2" t="inlineStr">
        <is>
          <t>low</t>
        </is>
      </c>
      <c r="J31" s="2" t="inlineStr">
        <is>
          <t>ok</t>
        </is>
      </c>
      <c r="K31" s="2" t="inlineStr">
        <is>
          <t>yes</t>
        </is>
      </c>
      <c r="L31" s="2" t="inlineStr">
        <is>
          <t>seated woman, full figure</t>
        </is>
      </c>
    </row>
    <row r="32">
      <c r="A32" s="2" t="inlineStr">
        <is>
          <t>A031-1</t>
        </is>
      </c>
      <c r="B32" s="2" t="inlineStr">
        <is>
          <t>A031</t>
        </is>
      </c>
      <c r="C32" s="2" t="inlineStr">
        <is>
          <t>Zurab (Piko) Nizharadze, Musicians.JPG</t>
        </is>
      </c>
      <c r="D32" s="2" t="inlineStr">
        <is>
          <t>Zurab (Piko) Nizharadze</t>
        </is>
      </c>
      <c r="E32" s="2" t="inlineStr">
        <is>
          <t>Musicians</t>
        </is>
      </c>
      <c r="F32" s="2" t="inlineStr"/>
      <c r="G32" s="2" t="inlineStr">
        <is>
          <t>figurative</t>
        </is>
      </c>
      <c r="H32" s="2" t="inlineStr">
        <is>
          <t>painting</t>
        </is>
      </c>
      <c r="I32" s="2" t="inlineStr">
        <is>
          <t>high</t>
        </is>
      </c>
      <c r="J32" s="2" t="inlineStr">
        <is>
          <t>ok</t>
        </is>
      </c>
      <c r="K32" s="2" t="inlineStr">
        <is>
          <t>yes</t>
        </is>
      </c>
      <c r="L32" s="2" t="inlineStr"/>
    </row>
    <row r="33">
      <c r="A33" s="2" t="inlineStr">
        <is>
          <t>A032-1</t>
        </is>
      </c>
      <c r="B33" s="2" t="inlineStr">
        <is>
          <t>A032</t>
        </is>
      </c>
      <c r="C33" s="2" t="inlineStr">
        <is>
          <t>Maka Topuridze, "Dancing clowns", 2024.JPG</t>
        </is>
      </c>
      <c r="D33" s="2" t="inlineStr">
        <is>
          <t>Maka Topuridze</t>
        </is>
      </c>
      <c r="E33" s="2" t="inlineStr">
        <is>
          <t>Dancing Clowns</t>
        </is>
      </c>
      <c r="F33" s="2" t="n">
        <v>2024</v>
      </c>
      <c r="G33" s="2" t="inlineStr">
        <is>
          <t>figurative</t>
        </is>
      </c>
      <c r="H33" s="2" t="inlineStr">
        <is>
          <t>painting</t>
        </is>
      </c>
      <c r="I33" s="2" t="inlineStr">
        <is>
          <t>low</t>
        </is>
      </c>
      <c r="J33" s="2" t="inlineStr">
        <is>
          <t>angle</t>
        </is>
      </c>
      <c r="K33" s="2" t="inlineStr">
        <is>
          <t>yes</t>
        </is>
      </c>
      <c r="L33" s="2" t="inlineStr">
        <is>
          <t>dense semi-abstract figures</t>
        </is>
      </c>
    </row>
    <row r="34">
      <c r="A34" s="2" t="inlineStr">
        <is>
          <t>A033-1</t>
        </is>
      </c>
      <c r="B34" s="2" t="inlineStr">
        <is>
          <t>A033</t>
        </is>
      </c>
      <c r="C34" s="2" t="inlineStr">
        <is>
          <t>Zurab (Piko) Nizharadze, "Samson and Dalilah".JPG</t>
        </is>
      </c>
      <c r="D34" s="2" t="inlineStr">
        <is>
          <t>Zurab (Piko) Nizharadze</t>
        </is>
      </c>
      <c r="E34" s="2" t="inlineStr">
        <is>
          <t>Samson and Dalilah</t>
        </is>
      </c>
      <c r="F34" s="2" t="inlineStr"/>
      <c r="G34" s="2" t="inlineStr">
        <is>
          <t>figurative</t>
        </is>
      </c>
      <c r="H34" s="2" t="inlineStr">
        <is>
          <t>painting</t>
        </is>
      </c>
      <c r="I34" s="2" t="inlineStr">
        <is>
          <t>high</t>
        </is>
      </c>
      <c r="J34" s="2" t="inlineStr">
        <is>
          <t>ok</t>
        </is>
      </c>
      <c r="K34" s="2" t="inlineStr">
        <is>
          <t>yes</t>
        </is>
      </c>
      <c r="L34" s="2" t="inlineStr"/>
    </row>
    <row r="35">
      <c r="A35" s="2" t="inlineStr">
        <is>
          <t>A034-1</t>
        </is>
      </c>
      <c r="B35" s="2" t="inlineStr">
        <is>
          <t>A034</t>
        </is>
      </c>
      <c r="C35" s="2" t="inlineStr">
        <is>
          <t>Oleg Timchenko, Untitled, 2013.JPG</t>
        </is>
      </c>
      <c r="D35" s="2" t="inlineStr">
        <is>
          <t>Oleg Timchenko</t>
        </is>
      </c>
      <c r="E35" s="2" t="inlineStr">
        <is>
          <t>Untitled</t>
        </is>
      </c>
      <c r="F35" s="2" t="n">
        <v>2013</v>
      </c>
      <c r="G35" s="2" t="inlineStr">
        <is>
          <t>figurative</t>
        </is>
      </c>
      <c r="H35" s="2" t="inlineStr">
        <is>
          <t>painting</t>
        </is>
      </c>
      <c r="I35" s="2" t="inlineStr">
        <is>
          <t>low</t>
        </is>
      </c>
      <c r="J35" s="2" t="inlineStr">
        <is>
          <t>ok</t>
        </is>
      </c>
      <c r="K35" s="2" t="inlineStr">
        <is>
          <t>yes</t>
        </is>
      </c>
      <c r="L35" s="2" t="inlineStr">
        <is>
          <t>two creatures above flowers</t>
        </is>
      </c>
    </row>
    <row r="36">
      <c r="A36" s="2" t="inlineStr">
        <is>
          <t>A035-1</t>
        </is>
      </c>
      <c r="B36" s="2" t="inlineStr">
        <is>
          <t>A035</t>
        </is>
      </c>
      <c r="C36" s="2" t="inlineStr">
        <is>
          <t>Dea Soselia, "Wine Country", 2023.JPG</t>
        </is>
      </c>
      <c r="D36" s="2" t="inlineStr">
        <is>
          <t>Dea Soselia</t>
        </is>
      </c>
      <c r="E36" s="2" t="inlineStr">
        <is>
          <t>Wine Country</t>
        </is>
      </c>
      <c r="F36" s="2" t="n">
        <v>2023</v>
      </c>
      <c r="G36" s="2" t="inlineStr">
        <is>
          <t>landscape</t>
        </is>
      </c>
      <c r="H36" s="2" t="inlineStr">
        <is>
          <t>painting</t>
        </is>
      </c>
      <c r="I36" s="2" t="inlineStr">
        <is>
          <t>high</t>
        </is>
      </c>
      <c r="J36" s="2" t="inlineStr">
        <is>
          <t>ok</t>
        </is>
      </c>
      <c r="K36" s="2" t="inlineStr">
        <is>
          <t>yes</t>
        </is>
      </c>
      <c r="L36" s="2" t="inlineStr"/>
    </row>
    <row r="37">
      <c r="A37" s="2" t="inlineStr">
        <is>
          <t>A036-1</t>
        </is>
      </c>
      <c r="B37" s="2" t="inlineStr">
        <is>
          <t>A036</t>
        </is>
      </c>
      <c r="C37" s="2" t="inlineStr">
        <is>
          <t>Zurab Nijaradze -female torso.JPG</t>
        </is>
      </c>
      <c r="D37" s="2" t="inlineStr">
        <is>
          <t>Zurab Nizharadze</t>
        </is>
      </c>
      <c r="E37" s="2" t="inlineStr">
        <is>
          <t>Female Torso</t>
        </is>
      </c>
      <c r="F37" s="2" t="inlineStr"/>
      <c r="G37" s="2" t="inlineStr">
        <is>
          <t>figurative</t>
        </is>
      </c>
      <c r="H37" s="2" t="inlineStr">
        <is>
          <t>painting</t>
        </is>
      </c>
      <c r="I37" s="2" t="inlineStr">
        <is>
          <t>high</t>
        </is>
      </c>
      <c r="J37" s="2" t="inlineStr">
        <is>
          <t>ok</t>
        </is>
      </c>
      <c r="K37" s="2" t="inlineStr">
        <is>
          <t>yes</t>
        </is>
      </c>
      <c r="L37" s="2" t="inlineStr">
        <is>
          <t>nude torso</t>
        </is>
      </c>
    </row>
    <row r="38">
      <c r="A38" s="2" t="inlineStr">
        <is>
          <t>A037-1</t>
        </is>
      </c>
      <c r="B38" s="2" t="inlineStr">
        <is>
          <t>A037</t>
        </is>
      </c>
      <c r="C38" s="2" t="inlineStr">
        <is>
          <t>Murtaz Shvelidze "untitled".JPG</t>
        </is>
      </c>
      <c r="D38" s="2" t="inlineStr">
        <is>
          <t>Murtaz Shvelidze</t>
        </is>
      </c>
      <c r="E38" s="2" t="inlineStr">
        <is>
          <t>Untitled</t>
        </is>
      </c>
      <c r="F38" s="2" t="n">
        <v>2013</v>
      </c>
      <c r="G38" s="2" t="inlineStr">
        <is>
          <t>figurative</t>
        </is>
      </c>
      <c r="H38" s="2" t="inlineStr">
        <is>
          <t>painting</t>
        </is>
      </c>
      <c r="I38" s="2" t="inlineStr">
        <is>
          <t>high</t>
        </is>
      </c>
      <c r="J38" s="2" t="inlineStr">
        <is>
          <t>ok</t>
        </is>
      </c>
      <c r="K38" s="2" t="inlineStr">
        <is>
          <t>yes</t>
        </is>
      </c>
      <c r="L38" s="2" t="inlineStr">
        <is>
          <t>legs under a table; year from wall label (photo X-038)</t>
        </is>
      </c>
    </row>
    <row r="39">
      <c r="A39" s="2" t="inlineStr">
        <is>
          <t>X-038</t>
        </is>
      </c>
      <c r="B39" s="2" t="inlineStr"/>
      <c r="C39" s="2" t="inlineStr">
        <is>
          <t>IMG_0808.JPG</t>
        </is>
      </c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>
        <is>
          <t>no</t>
        </is>
      </c>
      <c r="L39" s="2" t="inlineStr">
        <is>
          <t>wall label only (Murtaz Shvelidze, Untitled, 2013)</t>
        </is>
      </c>
    </row>
    <row r="40">
      <c r="A40" s="2" t="inlineStr">
        <is>
          <t>A038-1</t>
        </is>
      </c>
      <c r="B40" s="2" t="inlineStr">
        <is>
          <t>A038</t>
        </is>
      </c>
      <c r="C40" s="2" t="inlineStr">
        <is>
          <t>Tengiz Kacheishvili-African Elephant.JPG</t>
        </is>
      </c>
      <c r="D40" s="2" t="inlineStr">
        <is>
          <t>Tengiz Kacheishvili</t>
        </is>
      </c>
      <c r="E40" s="2" t="inlineStr">
        <is>
          <t>African Elephant</t>
        </is>
      </c>
      <c r="F40" s="2" t="inlineStr"/>
      <c r="G40" s="2" t="inlineStr">
        <is>
          <t>figurative</t>
        </is>
      </c>
      <c r="H40" s="2" t="inlineStr">
        <is>
          <t>painting</t>
        </is>
      </c>
      <c r="I40" s="2" t="inlineStr">
        <is>
          <t>high</t>
        </is>
      </c>
      <c r="J40" s="2" t="inlineStr">
        <is>
          <t>ok</t>
        </is>
      </c>
      <c r="K40" s="2" t="inlineStr">
        <is>
          <t>yes</t>
        </is>
      </c>
      <c r="L40" s="2" t="inlineStr">
        <is>
          <t>elephant, cubist style</t>
        </is>
      </c>
    </row>
    <row r="41">
      <c r="A41" s="2" t="inlineStr">
        <is>
          <t>A039-1</t>
        </is>
      </c>
      <c r="B41" s="2" t="inlineStr">
        <is>
          <t>A039</t>
        </is>
      </c>
      <c r="C41" s="2" t="inlineStr">
        <is>
          <t>Mamuka Tsetskhladze "Cafe Paris".JPG</t>
        </is>
      </c>
      <c r="D41" s="2" t="inlineStr">
        <is>
          <t>Mamuka Tsetskhladze</t>
        </is>
      </c>
      <c r="E41" s="2" t="inlineStr">
        <is>
          <t>Cafe Paris</t>
        </is>
      </c>
      <c r="F41" s="2" t="inlineStr"/>
      <c r="G41" s="2" t="inlineStr">
        <is>
          <t>landscape</t>
        </is>
      </c>
      <c r="H41" s="2" t="inlineStr">
        <is>
          <t>painting</t>
        </is>
      </c>
      <c r="I41" s="2" t="inlineStr">
        <is>
          <t>high</t>
        </is>
      </c>
      <c r="J41" s="2" t="inlineStr">
        <is>
          <t>ok</t>
        </is>
      </c>
      <c r="K41" s="2" t="inlineStr">
        <is>
          <t>yes</t>
        </is>
      </c>
      <c r="L41" s="2" t="inlineStr">
        <is>
          <t>street cafe</t>
        </is>
      </c>
    </row>
    <row r="42">
      <c r="A42" s="2" t="inlineStr">
        <is>
          <t>A040-1</t>
        </is>
      </c>
      <c r="B42" s="2" t="inlineStr">
        <is>
          <t>A040</t>
        </is>
      </c>
      <c r="C42" s="2" t="inlineStr">
        <is>
          <t>Tamara(Toma) Kanashvili , "Megadevildonalds".JPG</t>
        </is>
      </c>
      <c r="D42" s="2" t="inlineStr">
        <is>
          <t>Tamara (Toma) Kanashvili</t>
        </is>
      </c>
      <c r="E42" s="2" t="inlineStr">
        <is>
          <t>Megadevildonalds</t>
        </is>
      </c>
      <c r="F42" s="2" t="inlineStr"/>
      <c r="G42" s="2" t="inlineStr">
        <is>
          <t>figurative</t>
        </is>
      </c>
      <c r="H42" s="2" t="inlineStr">
        <is>
          <t>painting</t>
        </is>
      </c>
      <c r="I42" s="2" t="inlineStr">
        <is>
          <t>high</t>
        </is>
      </c>
      <c r="J42" s="2" t="inlineStr">
        <is>
          <t>ok</t>
        </is>
      </c>
      <c r="K42" s="2" t="inlineStr">
        <is>
          <t>yes</t>
        </is>
      </c>
      <c r="L42" s="2" t="inlineStr"/>
    </row>
    <row r="43">
      <c r="A43" s="2" t="inlineStr">
        <is>
          <t>A041-1</t>
        </is>
      </c>
      <c r="B43" s="2" t="inlineStr">
        <is>
          <t>A041</t>
        </is>
      </c>
      <c r="C43" s="2" t="inlineStr">
        <is>
          <t>Elene Akhvlediani, „Old and New Tbilisi".JPG</t>
        </is>
      </c>
      <c r="D43" s="2" t="inlineStr">
        <is>
          <t>Elene Akhvlediani</t>
        </is>
      </c>
      <c r="E43" s="2" t="inlineStr">
        <is>
          <t>Old and New Tbilisi</t>
        </is>
      </c>
      <c r="F43" s="2" t="inlineStr"/>
      <c r="G43" s="2" t="inlineStr">
        <is>
          <t>landscape</t>
        </is>
      </c>
      <c r="H43" s="2" t="inlineStr">
        <is>
          <t>painting</t>
        </is>
      </c>
      <c r="I43" s="2" t="inlineStr">
        <is>
          <t>high</t>
        </is>
      </c>
      <c r="J43" s="2" t="inlineStr">
        <is>
          <t>ok</t>
        </is>
      </c>
      <c r="K43" s="2" t="inlineStr">
        <is>
          <t>yes</t>
        </is>
      </c>
      <c r="L43" s="2" t="inlineStr">
        <is>
          <t>cityscape</t>
        </is>
      </c>
    </row>
    <row r="44">
      <c r="A44" s="2" t="inlineStr">
        <is>
          <t>A042-1</t>
        </is>
      </c>
      <c r="B44" s="2" t="inlineStr">
        <is>
          <t>A042</t>
        </is>
      </c>
      <c r="C44" s="2" t="inlineStr">
        <is>
          <t>Vazha Bekauri-Café.JPG</t>
        </is>
      </c>
      <c r="D44" s="2" t="inlineStr">
        <is>
          <t>Vazha Bekauri</t>
        </is>
      </c>
      <c r="E44" s="2" t="inlineStr">
        <is>
          <t>Cafe</t>
        </is>
      </c>
      <c r="F44" s="2" t="inlineStr"/>
      <c r="G44" s="2" t="inlineStr">
        <is>
          <t>figurative</t>
        </is>
      </c>
      <c r="H44" s="2" t="inlineStr">
        <is>
          <t>painting</t>
        </is>
      </c>
      <c r="I44" s="2" t="inlineStr">
        <is>
          <t>high</t>
        </is>
      </c>
      <c r="J44" s="2" t="inlineStr">
        <is>
          <t>ok</t>
        </is>
      </c>
      <c r="K44" s="2" t="inlineStr">
        <is>
          <t>yes</t>
        </is>
      </c>
      <c r="L44" s="2" t="inlineStr">
        <is>
          <t>outdoor cafe with people</t>
        </is>
      </c>
    </row>
    <row r="45">
      <c r="A45" s="2" t="inlineStr">
        <is>
          <t>A043-1</t>
        </is>
      </c>
      <c r="B45" s="2" t="inlineStr">
        <is>
          <t>A043</t>
        </is>
      </c>
      <c r="C45" s="2" t="inlineStr">
        <is>
          <t>Gogi Chagelishvili-Rachuli Rhapsody.JPG</t>
        </is>
      </c>
      <c r="D45" s="2" t="inlineStr">
        <is>
          <t>Gogi Chagelishvili</t>
        </is>
      </c>
      <c r="E45" s="2" t="inlineStr">
        <is>
          <t>Rachuli Rhapsody</t>
        </is>
      </c>
      <c r="F45" s="2" t="inlineStr"/>
      <c r="G45" s="2" t="inlineStr">
        <is>
          <t>landscape</t>
        </is>
      </c>
      <c r="H45" s="2" t="inlineStr">
        <is>
          <t>painting</t>
        </is>
      </c>
      <c r="I45" s="2" t="inlineStr">
        <is>
          <t>low</t>
        </is>
      </c>
      <c r="J45" s="2" t="inlineStr">
        <is>
          <t>ok</t>
        </is>
      </c>
      <c r="K45" s="2" t="inlineStr">
        <is>
          <t>yes</t>
        </is>
      </c>
      <c r="L45" s="2" t="inlineStr">
        <is>
          <t>rural scene with figures</t>
        </is>
      </c>
    </row>
    <row r="46">
      <c r="A46" s="2" t="inlineStr">
        <is>
          <t>A044-1</t>
        </is>
      </c>
      <c r="B46" s="2" t="inlineStr">
        <is>
          <t>A044</t>
        </is>
      </c>
      <c r="C46" s="2" t="inlineStr">
        <is>
          <t>Vazha Bekauri, Cafe.JPG</t>
        </is>
      </c>
      <c r="D46" s="2" t="inlineStr">
        <is>
          <t>Vazha Bekauri</t>
        </is>
      </c>
      <c r="E46" s="2" t="inlineStr">
        <is>
          <t>Cafe</t>
        </is>
      </c>
      <c r="F46" s="2" t="inlineStr"/>
      <c r="G46" s="2" t="inlineStr">
        <is>
          <t>landscape</t>
        </is>
      </c>
      <c r="H46" s="2" t="inlineStr">
        <is>
          <t>painting</t>
        </is>
      </c>
      <c r="I46" s="2" t="inlineStr">
        <is>
          <t>low</t>
        </is>
      </c>
      <c r="J46" s="2" t="inlineStr">
        <is>
          <t>ok</t>
        </is>
      </c>
      <c r="K46" s="2" t="inlineStr">
        <is>
          <t>yes</t>
        </is>
      </c>
      <c r="L46" s="2" t="inlineStr">
        <is>
          <t>night street with figures</t>
        </is>
      </c>
    </row>
    <row r="47">
      <c r="A47" s="2" t="inlineStr">
        <is>
          <t>A045-1</t>
        </is>
      </c>
      <c r="B47" s="2" t="inlineStr">
        <is>
          <t>A045</t>
        </is>
      </c>
      <c r="C47" s="2" t="inlineStr">
        <is>
          <t>Levan Jokhadze, Abstraction, 2023.JPG</t>
        </is>
      </c>
      <c r="D47" s="2" t="inlineStr">
        <is>
          <t>Levan Jokhadze</t>
        </is>
      </c>
      <c r="E47" s="2" t="inlineStr">
        <is>
          <t>Abstraction</t>
        </is>
      </c>
      <c r="F47" s="2" t="n">
        <v>2023</v>
      </c>
      <c r="G47" s="2" t="inlineStr">
        <is>
          <t>abstract</t>
        </is>
      </c>
      <c r="H47" s="2" t="inlineStr">
        <is>
          <t>painting</t>
        </is>
      </c>
      <c r="I47" s="2" t="inlineStr">
        <is>
          <t>high</t>
        </is>
      </c>
      <c r="J47" s="2" t="inlineStr">
        <is>
          <t>ok</t>
        </is>
      </c>
      <c r="K47" s="2" t="inlineStr">
        <is>
          <t>yes</t>
        </is>
      </c>
      <c r="L47" s="2" t="inlineStr"/>
    </row>
    <row r="48">
      <c r="A48" s="2" t="inlineStr">
        <is>
          <t>A046-1</t>
        </is>
      </c>
      <c r="B48" s="2" t="inlineStr">
        <is>
          <t>A046</t>
        </is>
      </c>
      <c r="C48" s="2" t="inlineStr">
        <is>
          <t>Gogi Chagelishvili, "The Lady", 2011.JPG</t>
        </is>
      </c>
      <c r="D48" s="2" t="inlineStr">
        <is>
          <t>Gogi Chagelishvili</t>
        </is>
      </c>
      <c r="E48" s="2" t="inlineStr">
        <is>
          <t>The Lady</t>
        </is>
      </c>
      <c r="F48" s="2" t="n">
        <v>2011</v>
      </c>
      <c r="G48" s="2" t="inlineStr">
        <is>
          <t>portrait</t>
        </is>
      </c>
      <c r="H48" s="2" t="inlineStr">
        <is>
          <t>painting</t>
        </is>
      </c>
      <c r="I48" s="2" t="inlineStr">
        <is>
          <t>high</t>
        </is>
      </c>
      <c r="J48" s="2" t="inlineStr">
        <is>
          <t>ok</t>
        </is>
      </c>
      <c r="K48" s="2" t="inlineStr">
        <is>
          <t>yes</t>
        </is>
      </c>
      <c r="L48" s="2" t="inlineStr"/>
    </row>
    <row r="49">
      <c r="A49" s="2" t="inlineStr">
        <is>
          <t>A047-1</t>
        </is>
      </c>
      <c r="B49" s="2" t="inlineStr">
        <is>
          <t>A047</t>
        </is>
      </c>
      <c r="C49" s="2" t="inlineStr">
        <is>
          <t>Gogi Chagelishvili, "12 Dreams of Margarita", 2013.JPG</t>
        </is>
      </c>
      <c r="D49" s="2" t="inlineStr">
        <is>
          <t>Gogi Chagelishvili</t>
        </is>
      </c>
      <c r="E49" s="2" t="inlineStr">
        <is>
          <t>12 Dreams of Margarita</t>
        </is>
      </c>
      <c r="F49" s="2" t="n">
        <v>2013</v>
      </c>
      <c r="G49" s="2" t="inlineStr">
        <is>
          <t>portrait</t>
        </is>
      </c>
      <c r="H49" s="2" t="inlineStr">
        <is>
          <t>painting</t>
        </is>
      </c>
      <c r="I49" s="2" t="inlineStr">
        <is>
          <t>low</t>
        </is>
      </c>
      <c r="J49" s="2" t="inlineStr">
        <is>
          <t>ok</t>
        </is>
      </c>
      <c r="K49" s="2" t="inlineStr">
        <is>
          <t>yes</t>
        </is>
      </c>
      <c r="L49" s="2" t="inlineStr">
        <is>
          <t>full-length figure</t>
        </is>
      </c>
    </row>
    <row r="50">
      <c r="A50" s="2" t="inlineStr">
        <is>
          <t>A048-1</t>
        </is>
      </c>
      <c r="B50" s="2" t="inlineStr">
        <is>
          <t>A048</t>
        </is>
      </c>
      <c r="C50" s="2" t="inlineStr">
        <is>
          <t>Tekla Melikadze "gossip girls".JPG</t>
        </is>
      </c>
      <c r="D50" s="2" t="inlineStr">
        <is>
          <t>Tekla Melikadze</t>
        </is>
      </c>
      <c r="E50" s="2" t="inlineStr">
        <is>
          <t>Gossip Girls</t>
        </is>
      </c>
      <c r="F50" s="2" t="inlineStr"/>
      <c r="G50" s="2" t="inlineStr">
        <is>
          <t>portrait</t>
        </is>
      </c>
      <c r="H50" s="2" t="inlineStr">
        <is>
          <t>work_on_paper</t>
        </is>
      </c>
      <c r="I50" s="2" t="inlineStr">
        <is>
          <t>low</t>
        </is>
      </c>
      <c r="J50" s="2" t="inlineStr">
        <is>
          <t>glare</t>
        </is>
      </c>
      <c r="K50" s="2" t="inlineStr">
        <is>
          <t>yes</t>
        </is>
      </c>
      <c r="L50" s="2" t="inlineStr">
        <is>
          <t>two profiles</t>
        </is>
      </c>
    </row>
    <row r="51">
      <c r="A51" s="2" t="inlineStr">
        <is>
          <t>A049-1</t>
        </is>
      </c>
      <c r="B51" s="2" t="inlineStr">
        <is>
          <t>A049</t>
        </is>
      </c>
      <c r="C51" s="2" t="inlineStr">
        <is>
          <t>Oleg Timchenko, Untitled, 2022.JPG</t>
        </is>
      </c>
      <c r="D51" s="2" t="inlineStr">
        <is>
          <t>Oleg Timchenko</t>
        </is>
      </c>
      <c r="E51" s="2" t="inlineStr">
        <is>
          <t>Untitled</t>
        </is>
      </c>
      <c r="F51" s="2" t="n">
        <v>2022</v>
      </c>
      <c r="G51" s="2" t="inlineStr">
        <is>
          <t>portrait</t>
        </is>
      </c>
      <c r="H51" s="2" t="inlineStr">
        <is>
          <t>painting</t>
        </is>
      </c>
      <c r="I51" s="2" t="inlineStr">
        <is>
          <t>high</t>
        </is>
      </c>
      <c r="J51" s="2" t="inlineStr">
        <is>
          <t>ok</t>
        </is>
      </c>
      <c r="K51" s="2" t="inlineStr">
        <is>
          <t>yes</t>
        </is>
      </c>
      <c r="L51" s="2" t="inlineStr">
        <is>
          <t>equestrian portrait</t>
        </is>
      </c>
    </row>
    <row r="52">
      <c r="A52" s="2" t="inlineStr">
        <is>
          <t>A050-1</t>
        </is>
      </c>
      <c r="B52" s="2" t="inlineStr">
        <is>
          <t>A050</t>
        </is>
      </c>
      <c r="C52" s="2" t="inlineStr">
        <is>
          <t>Mariam Shengelia, "Soviet Isolation", Collage, 2023.JPG</t>
        </is>
      </c>
      <c r="D52" s="2" t="inlineStr">
        <is>
          <t>Mariam Shengelia</t>
        </is>
      </c>
      <c r="E52" s="2" t="inlineStr">
        <is>
          <t>Soviet Isolation (collage)</t>
        </is>
      </c>
      <c r="F52" s="2" t="n">
        <v>2023</v>
      </c>
      <c r="G52" s="2" t="inlineStr">
        <is>
          <t>figurative</t>
        </is>
      </c>
      <c r="H52" s="2" t="inlineStr">
        <is>
          <t>mixed_media</t>
        </is>
      </c>
      <c r="I52" s="2" t="inlineStr">
        <is>
          <t>high</t>
        </is>
      </c>
      <c r="J52" s="2" t="inlineStr">
        <is>
          <t>ok</t>
        </is>
      </c>
      <c r="K52" s="2" t="inlineStr">
        <is>
          <t>yes</t>
        </is>
      </c>
      <c r="L52" s="2" t="inlineStr">
        <is>
          <t>newspaper collage</t>
        </is>
      </c>
    </row>
    <row r="53">
      <c r="A53" s="2" t="inlineStr">
        <is>
          <t>A051-1</t>
        </is>
      </c>
      <c r="B53" s="2" t="inlineStr">
        <is>
          <t>A051</t>
        </is>
      </c>
      <c r="C53" s="2" t="inlineStr">
        <is>
          <t>Oleg Timchenko, Untitled, 2022-2.JPG</t>
        </is>
      </c>
      <c r="D53" s="2" t="inlineStr">
        <is>
          <t>Oleg Timchenko</t>
        </is>
      </c>
      <c r="E53" s="2" t="inlineStr">
        <is>
          <t>Untitled-2</t>
        </is>
      </c>
      <c r="F53" s="2" t="n">
        <v>2022</v>
      </c>
      <c r="G53" s="2" t="inlineStr">
        <is>
          <t>portrait</t>
        </is>
      </c>
      <c r="H53" s="2" t="inlineStr">
        <is>
          <t>painting</t>
        </is>
      </c>
      <c r="I53" s="2" t="inlineStr">
        <is>
          <t>high</t>
        </is>
      </c>
      <c r="J53" s="2" t="inlineStr">
        <is>
          <t>ok</t>
        </is>
      </c>
      <c r="K53" s="2" t="inlineStr">
        <is>
          <t>yes</t>
        </is>
      </c>
      <c r="L53" s="2" t="inlineStr">
        <is>
          <t>equestrian portrait</t>
        </is>
      </c>
    </row>
    <row r="54">
      <c r="A54" s="2" t="inlineStr">
        <is>
          <t>A052-1</t>
        </is>
      </c>
      <c r="B54" s="2" t="inlineStr">
        <is>
          <t>A052</t>
        </is>
      </c>
      <c r="C54" s="2" t="inlineStr">
        <is>
          <t>Oleg Timchenko, Untitled, 2022-4.JPG</t>
        </is>
      </c>
      <c r="D54" s="2" t="inlineStr">
        <is>
          <t>Oleg Timchenko</t>
        </is>
      </c>
      <c r="E54" s="2" t="inlineStr">
        <is>
          <t>Untitled-4</t>
        </is>
      </c>
      <c r="F54" s="2" t="n">
        <v>2022</v>
      </c>
      <c r="G54" s="2" t="inlineStr">
        <is>
          <t>portrait</t>
        </is>
      </c>
      <c r="H54" s="2" t="inlineStr">
        <is>
          <t>painting</t>
        </is>
      </c>
      <c r="I54" s="2" t="inlineStr">
        <is>
          <t>high</t>
        </is>
      </c>
      <c r="J54" s="2" t="inlineStr">
        <is>
          <t>small</t>
        </is>
      </c>
      <c r="K54" s="2" t="inlineStr">
        <is>
          <t>yes</t>
        </is>
      </c>
      <c r="L54" s="2" t="inlineStr">
        <is>
          <t>work small in frame</t>
        </is>
      </c>
    </row>
    <row r="55">
      <c r="A55" s="2" t="inlineStr">
        <is>
          <t>A053-1</t>
        </is>
      </c>
      <c r="B55" s="2" t="inlineStr">
        <is>
          <t>A053</t>
        </is>
      </c>
      <c r="C55" s="2" t="inlineStr">
        <is>
          <t>Oleg Timchenko, Untitled, 2022-3.JPG</t>
        </is>
      </c>
      <c r="D55" s="2" t="inlineStr">
        <is>
          <t>Oleg Timchenko</t>
        </is>
      </c>
      <c r="E55" s="2" t="inlineStr">
        <is>
          <t>Untitled-3</t>
        </is>
      </c>
      <c r="F55" s="2" t="n">
        <v>2022</v>
      </c>
      <c r="G55" s="2" t="inlineStr">
        <is>
          <t>portrait</t>
        </is>
      </c>
      <c r="H55" s="2" t="inlineStr">
        <is>
          <t>painting</t>
        </is>
      </c>
      <c r="I55" s="2" t="inlineStr">
        <is>
          <t>high</t>
        </is>
      </c>
      <c r="J55" s="2" t="inlineStr">
        <is>
          <t>ok</t>
        </is>
      </c>
      <c r="K55" s="2" t="inlineStr">
        <is>
          <t>yes</t>
        </is>
      </c>
      <c r="L55" s="2" t="inlineStr"/>
    </row>
    <row r="56">
      <c r="A56" s="2" t="inlineStr">
        <is>
          <t>A054-1</t>
        </is>
      </c>
      <c r="B56" s="2" t="inlineStr">
        <is>
          <t>A054</t>
        </is>
      </c>
      <c r="C56" s="2" t="inlineStr">
        <is>
          <t>Judi Panjikidze, "Sitters on Break", 2022.JPG</t>
        </is>
      </c>
      <c r="D56" s="2" t="inlineStr">
        <is>
          <t>Judi Panjikidze</t>
        </is>
      </c>
      <c r="E56" s="2" t="inlineStr">
        <is>
          <t>Sitters on Break</t>
        </is>
      </c>
      <c r="F56" s="2" t="n">
        <v>2022</v>
      </c>
      <c r="G56" s="2" t="inlineStr">
        <is>
          <t>figurative</t>
        </is>
      </c>
      <c r="H56" s="2" t="inlineStr">
        <is>
          <t>painting</t>
        </is>
      </c>
      <c r="I56" s="2" t="inlineStr">
        <is>
          <t>low</t>
        </is>
      </c>
      <c r="J56" s="2" t="inlineStr">
        <is>
          <t>ok</t>
        </is>
      </c>
      <c r="K56" s="2" t="inlineStr">
        <is>
          <t>yes</t>
        </is>
      </c>
      <c r="L56" s="2" t="inlineStr">
        <is>
          <t>nudes, monochrome relief</t>
        </is>
      </c>
    </row>
    <row r="57">
      <c r="A57" s="2" t="inlineStr">
        <is>
          <t>A055-1</t>
        </is>
      </c>
      <c r="B57" s="2" t="inlineStr">
        <is>
          <t>A055</t>
        </is>
      </c>
      <c r="C57" s="2" t="inlineStr">
        <is>
          <t>Omar Durmishidze, Still Life with Lemon, 1992.JPG</t>
        </is>
      </c>
      <c r="D57" s="2" t="inlineStr">
        <is>
          <t>Omar Durmishidze</t>
        </is>
      </c>
      <c r="E57" s="2" t="inlineStr">
        <is>
          <t>Still Life with Lemon</t>
        </is>
      </c>
      <c r="F57" s="2" t="n">
        <v>1992</v>
      </c>
      <c r="G57" s="2" t="inlineStr">
        <is>
          <t>still_life</t>
        </is>
      </c>
      <c r="H57" s="2" t="inlineStr">
        <is>
          <t>painting</t>
        </is>
      </c>
      <c r="I57" s="2" t="inlineStr">
        <is>
          <t>high</t>
        </is>
      </c>
      <c r="J57" s="2" t="inlineStr">
        <is>
          <t>ok</t>
        </is>
      </c>
      <c r="K57" s="2" t="inlineStr">
        <is>
          <t>no</t>
        </is>
      </c>
      <c r="L57" s="2" t="inlineStr">
        <is>
          <t>class 'still_life' too small, not used</t>
        </is>
      </c>
    </row>
    <row r="58">
      <c r="A58" s="2" t="inlineStr">
        <is>
          <t>A056-1</t>
        </is>
      </c>
      <c r="B58" s="2" t="inlineStr">
        <is>
          <t>A056</t>
        </is>
      </c>
      <c r="C58" s="2" t="inlineStr">
        <is>
          <t>Mariam Shengelia, "Self-Portrait ", 2023.JPG</t>
        </is>
      </c>
      <c r="D58" s="2" t="inlineStr">
        <is>
          <t>Mariam Shengelia</t>
        </is>
      </c>
      <c r="E58" s="2" t="inlineStr">
        <is>
          <t>Self-Portrait</t>
        </is>
      </c>
      <c r="F58" s="2" t="n">
        <v>2023</v>
      </c>
      <c r="G58" s="2" t="inlineStr">
        <is>
          <t>portrait</t>
        </is>
      </c>
      <c r="H58" s="2" t="inlineStr">
        <is>
          <t>painting</t>
        </is>
      </c>
      <c r="I58" s="2" t="inlineStr">
        <is>
          <t>high</t>
        </is>
      </c>
      <c r="J58" s="2" t="inlineStr">
        <is>
          <t>ok</t>
        </is>
      </c>
      <c r="K58" s="2" t="inlineStr">
        <is>
          <t>yes</t>
        </is>
      </c>
      <c r="L58" s="2" t="inlineStr"/>
    </row>
    <row r="59">
      <c r="A59" s="2" t="inlineStr">
        <is>
          <t>A057-1</t>
        </is>
      </c>
      <c r="B59" s="2" t="inlineStr">
        <is>
          <t>A057</t>
        </is>
      </c>
      <c r="C59" s="2" t="inlineStr">
        <is>
          <t xml:space="preserve"> Omar Durmishidze, Still Life "Fish".JPG</t>
        </is>
      </c>
      <c r="D59" s="2" t="inlineStr">
        <is>
          <t>Omar Durmishidze</t>
        </is>
      </c>
      <c r="E59" s="2" t="inlineStr">
        <is>
          <t>Still Life "Fish"</t>
        </is>
      </c>
      <c r="F59" s="2" t="inlineStr"/>
      <c r="G59" s="2" t="inlineStr">
        <is>
          <t>still_life</t>
        </is>
      </c>
      <c r="H59" s="2" t="inlineStr">
        <is>
          <t>painting</t>
        </is>
      </c>
      <c r="I59" s="2" t="inlineStr">
        <is>
          <t>high</t>
        </is>
      </c>
      <c r="J59" s="2" t="inlineStr">
        <is>
          <t>ok</t>
        </is>
      </c>
      <c r="K59" s="2" t="inlineStr">
        <is>
          <t>no</t>
        </is>
      </c>
      <c r="L59" s="2" t="inlineStr">
        <is>
          <t>class 'still_life' too small, not used</t>
        </is>
      </c>
    </row>
    <row r="60">
      <c r="A60" s="2" t="inlineStr">
        <is>
          <t>A058-1</t>
        </is>
      </c>
      <c r="B60" s="2" t="inlineStr">
        <is>
          <t>A058</t>
        </is>
      </c>
      <c r="C60" s="2" t="inlineStr">
        <is>
          <t>Bacho Chamelashvili, Untitled, 2025.JPG</t>
        </is>
      </c>
      <c r="D60" s="2" t="inlineStr">
        <is>
          <t>Bacho Chamelashvili</t>
        </is>
      </c>
      <c r="E60" s="2" t="inlineStr">
        <is>
          <t>Untitled</t>
        </is>
      </c>
      <c r="F60" s="2" t="n">
        <v>2025</v>
      </c>
      <c r="G60" s="2" t="inlineStr">
        <is>
          <t>figurative</t>
        </is>
      </c>
      <c r="H60" s="2" t="inlineStr">
        <is>
          <t>painting</t>
        </is>
      </c>
      <c r="I60" s="2" t="inlineStr">
        <is>
          <t>high</t>
        </is>
      </c>
      <c r="J60" s="2" t="inlineStr">
        <is>
          <t>ok</t>
        </is>
      </c>
      <c r="K60" s="2" t="inlineStr">
        <is>
          <t>yes</t>
        </is>
      </c>
      <c r="L60" s="2" t="inlineStr"/>
    </row>
    <row r="61">
      <c r="A61" s="2" t="inlineStr">
        <is>
          <t>A059-1</t>
        </is>
      </c>
      <c r="B61" s="2" t="inlineStr">
        <is>
          <t>A059</t>
        </is>
      </c>
      <c r="C61" s="2" t="inlineStr">
        <is>
          <t>Onisime Chikvaidze "Vazha-Fshavela.JPG</t>
        </is>
      </c>
      <c r="D61" s="2" t="inlineStr">
        <is>
          <t>Onisime Chikvaidze</t>
        </is>
      </c>
      <c r="E61" s="2" t="inlineStr">
        <is>
          <t>Vazha-Pshavela</t>
        </is>
      </c>
      <c r="F61" s="2" t="inlineStr"/>
      <c r="G61" s="2" t="inlineStr">
        <is>
          <t>portrait</t>
        </is>
      </c>
      <c r="H61" s="2" t="inlineStr">
        <is>
          <t>painting</t>
        </is>
      </c>
      <c r="I61" s="2" t="inlineStr">
        <is>
          <t>high</t>
        </is>
      </c>
      <c r="J61" s="2" t="inlineStr">
        <is>
          <t>ok</t>
        </is>
      </c>
      <c r="K61" s="2" t="inlineStr">
        <is>
          <t>yes</t>
        </is>
      </c>
      <c r="L61" s="2" t="inlineStr"/>
    </row>
    <row r="62">
      <c r="A62" s="2" t="inlineStr">
        <is>
          <t>A060-1</t>
        </is>
      </c>
      <c r="B62" s="2" t="inlineStr">
        <is>
          <t>A060</t>
        </is>
      </c>
      <c r="C62" s="2" t="inlineStr">
        <is>
          <t>Levan Jokhadze- Abstraction.JPG</t>
        </is>
      </c>
      <c r="D62" s="2" t="inlineStr">
        <is>
          <t>Levan Jokhadze</t>
        </is>
      </c>
      <c r="E62" s="2" t="inlineStr">
        <is>
          <t>Abstraction</t>
        </is>
      </c>
      <c r="F62" s="2" t="inlineStr"/>
      <c r="G62" s="2" t="inlineStr">
        <is>
          <t>abstract</t>
        </is>
      </c>
      <c r="H62" s="2" t="inlineStr">
        <is>
          <t>painting</t>
        </is>
      </c>
      <c r="I62" s="2" t="inlineStr">
        <is>
          <t>high</t>
        </is>
      </c>
      <c r="J62" s="2" t="inlineStr">
        <is>
          <t>ok</t>
        </is>
      </c>
      <c r="K62" s="2" t="inlineStr">
        <is>
          <t>yes</t>
        </is>
      </c>
      <c r="L62" s="2" t="inlineStr"/>
    </row>
    <row r="63">
      <c r="A63" s="2" t="inlineStr">
        <is>
          <t>A061-1</t>
        </is>
      </c>
      <c r="B63" s="2" t="inlineStr">
        <is>
          <t>A061</t>
        </is>
      </c>
      <c r="C63" s="2" t="inlineStr">
        <is>
          <t>Ushangi Khumarashvili, Abstraction2.JPG</t>
        </is>
      </c>
      <c r="D63" s="2" t="inlineStr">
        <is>
          <t>Ushangi Khumarashvili</t>
        </is>
      </c>
      <c r="E63" s="2" t="inlineStr">
        <is>
          <t>Abstraction 2</t>
        </is>
      </c>
      <c r="F63" s="2" t="inlineStr"/>
      <c r="G63" s="2" t="inlineStr">
        <is>
          <t>abstract</t>
        </is>
      </c>
      <c r="H63" s="2" t="inlineStr">
        <is>
          <t>painting</t>
        </is>
      </c>
      <c r="I63" s="2" t="inlineStr">
        <is>
          <t>high</t>
        </is>
      </c>
      <c r="J63" s="2" t="inlineStr">
        <is>
          <t>ok</t>
        </is>
      </c>
      <c r="K63" s="2" t="inlineStr">
        <is>
          <t>yes</t>
        </is>
      </c>
      <c r="L63" s="2" t="inlineStr"/>
    </row>
    <row r="64">
      <c r="A64" s="2" t="inlineStr">
        <is>
          <t>A062-1</t>
        </is>
      </c>
      <c r="B64" s="2" t="inlineStr">
        <is>
          <t>A062</t>
        </is>
      </c>
      <c r="C64" s="2" t="inlineStr">
        <is>
          <t>Gela Dumbadze "Maro Mayashvili".JPG</t>
        </is>
      </c>
      <c r="D64" s="2" t="inlineStr">
        <is>
          <t>Gela Dumbadze</t>
        </is>
      </c>
      <c r="E64" s="2" t="inlineStr">
        <is>
          <t>Maro Mayashvili</t>
        </is>
      </c>
      <c r="F64" s="2" t="inlineStr"/>
      <c r="G64" s="2" t="inlineStr">
        <is>
          <t>portrait</t>
        </is>
      </c>
      <c r="H64" s="2" t="inlineStr">
        <is>
          <t>painting</t>
        </is>
      </c>
      <c r="I64" s="2" t="inlineStr">
        <is>
          <t>high</t>
        </is>
      </c>
      <c r="J64" s="2" t="inlineStr">
        <is>
          <t>ok</t>
        </is>
      </c>
      <c r="K64" s="2" t="inlineStr">
        <is>
          <t>yes</t>
        </is>
      </c>
      <c r="L64" s="2" t="inlineStr"/>
    </row>
    <row r="65">
      <c r="A65" s="2" t="inlineStr">
        <is>
          <t>A063-1</t>
        </is>
      </c>
      <c r="B65" s="2" t="inlineStr">
        <is>
          <t>A063</t>
        </is>
      </c>
      <c r="C65" s="2" t="inlineStr">
        <is>
          <t>Ushangi Khumarashvili, Abstraction4.JPG</t>
        </is>
      </c>
      <c r="D65" s="2" t="inlineStr">
        <is>
          <t>Ushangi Khumarashvili</t>
        </is>
      </c>
      <c r="E65" s="2" t="inlineStr">
        <is>
          <t>Abstraction 4</t>
        </is>
      </c>
      <c r="F65" s="2" t="inlineStr"/>
      <c r="G65" s="2" t="inlineStr">
        <is>
          <t>abstract</t>
        </is>
      </c>
      <c r="H65" s="2" t="inlineStr">
        <is>
          <t>painting</t>
        </is>
      </c>
      <c r="I65" s="2" t="inlineStr">
        <is>
          <t>high</t>
        </is>
      </c>
      <c r="J65" s="2" t="inlineStr">
        <is>
          <t>ok</t>
        </is>
      </c>
      <c r="K65" s="2" t="inlineStr">
        <is>
          <t>yes</t>
        </is>
      </c>
      <c r="L65" s="2" t="inlineStr"/>
    </row>
    <row r="66">
      <c r="A66" s="2" t="inlineStr">
        <is>
          <t>A064-1</t>
        </is>
      </c>
      <c r="B66" s="2" t="inlineStr">
        <is>
          <t>A064</t>
        </is>
      </c>
      <c r="C66" s="2" t="inlineStr">
        <is>
          <t>Lado Gudiashvili "The legend of the Founding of Tbilisi".JPG</t>
        </is>
      </c>
      <c r="D66" s="2" t="inlineStr">
        <is>
          <t>Lado Gudiashvili</t>
        </is>
      </c>
      <c r="E66" s="2" t="inlineStr">
        <is>
          <t>The Legend of the Founding of Tbilisi</t>
        </is>
      </c>
      <c r="F66" s="2" t="inlineStr"/>
      <c r="G66" s="2" t="inlineStr">
        <is>
          <t>figurative</t>
        </is>
      </c>
      <c r="H66" s="2" t="inlineStr">
        <is>
          <t>painting</t>
        </is>
      </c>
      <c r="I66" s="2" t="inlineStr">
        <is>
          <t>high</t>
        </is>
      </c>
      <c r="J66" s="2" t="inlineStr">
        <is>
          <t>ok</t>
        </is>
      </c>
      <c r="K66" s="2" t="inlineStr">
        <is>
          <t>yes</t>
        </is>
      </c>
      <c r="L66" s="2" t="inlineStr">
        <is>
          <t>history scene</t>
        </is>
      </c>
    </row>
    <row r="67">
      <c r="A67" s="2" t="inlineStr">
        <is>
          <t>A065-1</t>
        </is>
      </c>
      <c r="B67" s="2" t="inlineStr">
        <is>
          <t>A065</t>
        </is>
      </c>
      <c r="C67" s="2" t="inlineStr">
        <is>
          <t>Pablo Picasso, "Woman In a Fish Hat", Lithography.JPG</t>
        </is>
      </c>
      <c r="D67" s="2" t="inlineStr">
        <is>
          <t>Pablo Picasso</t>
        </is>
      </c>
      <c r="E67" s="2" t="inlineStr">
        <is>
          <t>Woman in a Fish Hat (lithograph)</t>
        </is>
      </c>
      <c r="F67" s="2" t="inlineStr"/>
      <c r="G67" s="2" t="inlineStr">
        <is>
          <t>portrait</t>
        </is>
      </c>
      <c r="H67" s="2" t="inlineStr">
        <is>
          <t>work_on_paper</t>
        </is>
      </c>
      <c r="I67" s="2" t="inlineStr">
        <is>
          <t>high</t>
        </is>
      </c>
      <c r="J67" s="2" t="inlineStr">
        <is>
          <t>ok</t>
        </is>
      </c>
      <c r="K67" s="2" t="inlineStr">
        <is>
          <t>yes</t>
        </is>
      </c>
      <c r="L67" s="2" t="inlineStr">
        <is>
          <t>lithograph</t>
        </is>
      </c>
    </row>
    <row r="68">
      <c r="A68" s="2" t="inlineStr">
        <is>
          <t>A066-1</t>
        </is>
      </c>
      <c r="B68" s="2" t="inlineStr">
        <is>
          <t>A066</t>
        </is>
      </c>
      <c r="C68" s="2" t="inlineStr">
        <is>
          <t>Ushangi Khumarashvili, Abstraction8.JPG</t>
        </is>
      </c>
      <c r="D68" s="2" t="inlineStr">
        <is>
          <t>Ushangi Khumarashvili</t>
        </is>
      </c>
      <c r="E68" s="2" t="inlineStr">
        <is>
          <t>Abstraction 8</t>
        </is>
      </c>
      <c r="F68" s="2" t="inlineStr"/>
      <c r="G68" s="2" t="inlineStr">
        <is>
          <t>abstract</t>
        </is>
      </c>
      <c r="H68" s="2" t="inlineStr">
        <is>
          <t>painting</t>
        </is>
      </c>
      <c r="I68" s="2" t="inlineStr">
        <is>
          <t>high</t>
        </is>
      </c>
      <c r="J68" s="2" t="inlineStr">
        <is>
          <t>ok</t>
        </is>
      </c>
      <c r="K68" s="2" t="inlineStr">
        <is>
          <t>yes</t>
        </is>
      </c>
      <c r="L68" s="2" t="inlineStr"/>
    </row>
    <row r="69">
      <c r="A69" s="2" t="inlineStr">
        <is>
          <t>A067-1</t>
        </is>
      </c>
      <c r="B69" s="2" t="inlineStr">
        <is>
          <t>A067</t>
        </is>
      </c>
      <c r="C69" s="2" t="inlineStr">
        <is>
          <t>IMG_0844.JPG</t>
        </is>
      </c>
      <c r="D69" s="2" t="inlineStr">
        <is>
          <t>Pablo Picasso</t>
        </is>
      </c>
      <c r="E69" s="2" t="inlineStr">
        <is>
          <t>Le Roi (print)</t>
        </is>
      </c>
      <c r="F69" s="2" t="inlineStr"/>
      <c r="G69" s="2" t="inlineStr">
        <is>
          <t>portrait</t>
        </is>
      </c>
      <c r="H69" s="2" t="inlineStr">
        <is>
          <t>work_on_paper</t>
        </is>
      </c>
      <c r="I69" s="2" t="inlineStr">
        <is>
          <t>high</t>
        </is>
      </c>
      <c r="J69" s="2" t="inlineStr">
        <is>
          <t>ok</t>
        </is>
      </c>
      <c r="K69" s="2" t="inlineStr">
        <is>
          <t>yes</t>
        </is>
      </c>
      <c r="L69" s="2" t="inlineStr">
        <is>
          <t>print; plaque reads Picasso 'Le Roi'</t>
        </is>
      </c>
    </row>
    <row r="70">
      <c r="A70" s="2" t="inlineStr">
        <is>
          <t>A068-1</t>
        </is>
      </c>
      <c r="B70" s="2" t="inlineStr">
        <is>
          <t>A068</t>
        </is>
      </c>
      <c r="C70" s="2" t="inlineStr">
        <is>
          <t>IMG_0845.JPG</t>
        </is>
      </c>
      <c r="D70" s="2" t="inlineStr">
        <is>
          <t>Pablo Picasso</t>
        </is>
      </c>
      <c r="E70" s="2" t="inlineStr">
        <is>
          <t>Le Mousquetaire (print)</t>
        </is>
      </c>
      <c r="F70" s="2" t="inlineStr"/>
      <c r="G70" s="2" t="inlineStr">
        <is>
          <t>portrait</t>
        </is>
      </c>
      <c r="H70" s="2" t="inlineStr">
        <is>
          <t>work_on_paper</t>
        </is>
      </c>
      <c r="I70" s="2" t="inlineStr">
        <is>
          <t>high</t>
        </is>
      </c>
      <c r="J70" s="2" t="inlineStr">
        <is>
          <t>ok</t>
        </is>
      </c>
      <c r="K70" s="2" t="inlineStr">
        <is>
          <t>yes</t>
        </is>
      </c>
      <c r="L70" s="2" t="inlineStr">
        <is>
          <t>print; plaque reads Picasso 'Le Mousquetaire'</t>
        </is>
      </c>
    </row>
    <row r="71">
      <c r="A71" s="2" t="inlineStr">
        <is>
          <t>A069-1</t>
        </is>
      </c>
      <c r="B71" s="2" t="inlineStr">
        <is>
          <t>A069</t>
        </is>
      </c>
      <c r="C71" s="2" t="inlineStr">
        <is>
          <t>Ushangi Khumarashvili, Abstraction6.JPG</t>
        </is>
      </c>
      <c r="D71" s="2" t="inlineStr">
        <is>
          <t>Ushangi Khumarashvili</t>
        </is>
      </c>
      <c r="E71" s="2" t="inlineStr">
        <is>
          <t>Abstraction 6</t>
        </is>
      </c>
      <c r="F71" s="2" t="inlineStr"/>
      <c r="G71" s="2" t="inlineStr">
        <is>
          <t>abstract</t>
        </is>
      </c>
      <c r="H71" s="2" t="inlineStr">
        <is>
          <t>painting</t>
        </is>
      </c>
      <c r="I71" s="2" t="inlineStr">
        <is>
          <t>high</t>
        </is>
      </c>
      <c r="J71" s="2" t="inlineStr">
        <is>
          <t>ok</t>
        </is>
      </c>
      <c r="K71" s="2" t="inlineStr">
        <is>
          <t>yes</t>
        </is>
      </c>
      <c r="L71" s="2" t="inlineStr"/>
    </row>
    <row r="72">
      <c r="A72" s="2" t="inlineStr">
        <is>
          <t>A070-1</t>
        </is>
      </c>
      <c r="B72" s="2" t="inlineStr">
        <is>
          <t>A070</t>
        </is>
      </c>
      <c r="C72" s="2" t="inlineStr">
        <is>
          <t>Dali "Blue Unicorn".JPG</t>
        </is>
      </c>
      <c r="D72" s="2" t="inlineStr">
        <is>
          <t>Salvador Dali</t>
        </is>
      </c>
      <c r="E72" s="2" t="inlineStr">
        <is>
          <t>Blue Unicorn</t>
        </is>
      </c>
      <c r="F72" s="2" t="inlineStr"/>
      <c r="G72" s="2" t="inlineStr">
        <is>
          <t>figurative</t>
        </is>
      </c>
      <c r="H72" s="2" t="inlineStr">
        <is>
          <t>work_on_paper</t>
        </is>
      </c>
      <c r="I72" s="2" t="inlineStr">
        <is>
          <t>high</t>
        </is>
      </c>
      <c r="J72" s="2" t="inlineStr">
        <is>
          <t>glare</t>
        </is>
      </c>
      <c r="K72" s="2" t="inlineStr">
        <is>
          <t>yes</t>
        </is>
      </c>
      <c r="L72" s="2" t="inlineStr">
        <is>
          <t>numbered lithograph</t>
        </is>
      </c>
    </row>
    <row r="73">
      <c r="A73" s="2" t="inlineStr">
        <is>
          <t>A071-1</t>
        </is>
      </c>
      <c r="B73" s="2" t="inlineStr">
        <is>
          <t>A071</t>
        </is>
      </c>
      <c r="C73" s="2" t="inlineStr">
        <is>
          <t>Ushangi Khumarashvili, Abstraction, 2018-3.JPG</t>
        </is>
      </c>
      <c r="D73" s="2" t="inlineStr">
        <is>
          <t>Ushangi Khumarashvili</t>
        </is>
      </c>
      <c r="E73" s="2" t="inlineStr">
        <is>
          <t>Abstraction 3</t>
        </is>
      </c>
      <c r="F73" s="2" t="n">
        <v>2018</v>
      </c>
      <c r="G73" s="2" t="inlineStr">
        <is>
          <t>abstract</t>
        </is>
      </c>
      <c r="H73" s="2" t="inlineStr">
        <is>
          <t>painting</t>
        </is>
      </c>
      <c r="I73" s="2" t="inlineStr">
        <is>
          <t>high</t>
        </is>
      </c>
      <c r="J73" s="2" t="inlineStr">
        <is>
          <t>ok</t>
        </is>
      </c>
      <c r="K73" s="2" t="inlineStr">
        <is>
          <t>yes</t>
        </is>
      </c>
      <c r="L73" s="2" t="inlineStr"/>
    </row>
    <row r="74">
      <c r="A74" s="2" t="inlineStr">
        <is>
          <t>A072-1</t>
        </is>
      </c>
      <c r="B74" s="2" t="inlineStr">
        <is>
          <t>A072</t>
        </is>
      </c>
      <c r="C74" s="2" t="inlineStr">
        <is>
          <t>Marc Shagal, "Tribe of Simeon".JPG</t>
        </is>
      </c>
      <c r="D74" s="2" t="inlineStr">
        <is>
          <t>Marc Chagall</t>
        </is>
      </c>
      <c r="E74" s="2" t="inlineStr">
        <is>
          <t>Tribe of Simeon</t>
        </is>
      </c>
      <c r="F74" s="2" t="inlineStr"/>
      <c r="G74" s="2" t="inlineStr">
        <is>
          <t>figurative</t>
        </is>
      </c>
      <c r="H74" s="2" t="inlineStr">
        <is>
          <t>work_on_paper</t>
        </is>
      </c>
      <c r="I74" s="2" t="inlineStr">
        <is>
          <t>low</t>
        </is>
      </c>
      <c r="J74" s="2" t="inlineStr">
        <is>
          <t>angle</t>
        </is>
      </c>
      <c r="K74" s="2" t="inlineStr">
        <is>
          <t>yes</t>
        </is>
      </c>
      <c r="L74" s="2" t="inlineStr">
        <is>
          <t>lithograph, symbolic composition</t>
        </is>
      </c>
    </row>
    <row r="75">
      <c r="A75" s="2" t="inlineStr">
        <is>
          <t>A073-1</t>
        </is>
      </c>
      <c r="B75" s="2" t="inlineStr">
        <is>
          <t>A073</t>
        </is>
      </c>
      <c r="C75" s="2" t="inlineStr">
        <is>
          <t>Marc Shagal, "Tribe of Judah".JPG</t>
        </is>
      </c>
      <c r="D75" s="2" t="inlineStr">
        <is>
          <t>Marc Chagall</t>
        </is>
      </c>
      <c r="E75" s="2" t="inlineStr">
        <is>
          <t>Tribe of Judah</t>
        </is>
      </c>
      <c r="F75" s="2" t="inlineStr"/>
      <c r="G75" s="2" t="inlineStr">
        <is>
          <t>figurative</t>
        </is>
      </c>
      <c r="H75" s="2" t="inlineStr">
        <is>
          <t>work_on_paper</t>
        </is>
      </c>
      <c r="I75" s="2" t="inlineStr">
        <is>
          <t>low</t>
        </is>
      </c>
      <c r="J75" s="2" t="inlineStr">
        <is>
          <t>angle</t>
        </is>
      </c>
      <c r="K75" s="2" t="inlineStr">
        <is>
          <t>yes</t>
        </is>
      </c>
      <c r="L75" s="2" t="inlineStr">
        <is>
          <t>lithograph, symbolic composition</t>
        </is>
      </c>
    </row>
    <row r="76">
      <c r="A76" s="2" t="inlineStr">
        <is>
          <t>A074-1</t>
        </is>
      </c>
      <c r="B76" s="2" t="inlineStr">
        <is>
          <t>A074</t>
        </is>
      </c>
      <c r="C76" s="2" t="inlineStr">
        <is>
          <t>Anna K.E., From the Series in Order of Appearance No.06.JPG</t>
        </is>
      </c>
      <c r="D76" s="2" t="inlineStr">
        <is>
          <t>Anna K.E.</t>
        </is>
      </c>
      <c r="E76" s="2" t="inlineStr">
        <is>
          <t>From the Series In Order of Appearance No.06</t>
        </is>
      </c>
      <c r="F76" s="2" t="inlineStr"/>
      <c r="G76" s="2" t="inlineStr">
        <is>
          <t>abstract</t>
        </is>
      </c>
      <c r="H76" s="2" t="inlineStr">
        <is>
          <t>work_on_paper</t>
        </is>
      </c>
      <c r="I76" s="2" t="inlineStr">
        <is>
          <t>low</t>
        </is>
      </c>
      <c r="J76" s="2" t="inlineStr">
        <is>
          <t>reflection</t>
        </is>
      </c>
      <c r="K76" s="2" t="inlineStr">
        <is>
          <t>yes</t>
        </is>
      </c>
      <c r="L76" s="2" t="inlineStr">
        <is>
          <t>window reflected in glass</t>
        </is>
      </c>
    </row>
    <row r="77">
      <c r="A77" s="2" t="inlineStr">
        <is>
          <t>A075-1</t>
        </is>
      </c>
      <c r="B77" s="2" t="inlineStr">
        <is>
          <t>A075</t>
        </is>
      </c>
      <c r="C77" s="2" t="inlineStr">
        <is>
          <t>Anna K.E., From the Series in Order of Appearance No.02.JPG</t>
        </is>
      </c>
      <c r="D77" s="2" t="inlineStr">
        <is>
          <t>Anna K.E.</t>
        </is>
      </c>
      <c r="E77" s="2" t="inlineStr">
        <is>
          <t>From the Series In Order of Appearance No.02</t>
        </is>
      </c>
      <c r="F77" s="2" t="inlineStr"/>
      <c r="G77" s="2" t="inlineStr">
        <is>
          <t>abstract</t>
        </is>
      </c>
      <c r="H77" s="2" t="inlineStr">
        <is>
          <t>work_on_paper</t>
        </is>
      </c>
      <c r="I77" s="2" t="inlineStr">
        <is>
          <t>low</t>
        </is>
      </c>
      <c r="J77" s="2" t="inlineStr">
        <is>
          <t>reflection</t>
        </is>
      </c>
      <c r="K77" s="2" t="inlineStr">
        <is>
          <t>yes</t>
        </is>
      </c>
      <c r="L77" s="2" t="inlineStr">
        <is>
          <t>mask-like face; window reflected in glass</t>
        </is>
      </c>
    </row>
    <row r="78">
      <c r="A78" s="2" t="inlineStr">
        <is>
          <t>A076-1</t>
        </is>
      </c>
      <c r="B78" s="2" t="inlineStr">
        <is>
          <t>A076</t>
        </is>
      </c>
      <c r="C78" s="2" t="inlineStr">
        <is>
          <t>Mamuka Japaridze, "Rolex", 1994.JPG</t>
        </is>
      </c>
      <c r="D78" s="2" t="inlineStr">
        <is>
          <t>Mamuka Japaridze</t>
        </is>
      </c>
      <c r="E78" s="2" t="inlineStr">
        <is>
          <t>Rolex</t>
        </is>
      </c>
      <c r="F78" s="2" t="n">
        <v>1994</v>
      </c>
      <c r="G78" s="2" t="inlineStr">
        <is>
          <t>abstract</t>
        </is>
      </c>
      <c r="H78" s="2" t="inlineStr">
        <is>
          <t>painting</t>
        </is>
      </c>
      <c r="I78" s="2" t="inlineStr">
        <is>
          <t>high</t>
        </is>
      </c>
      <c r="J78" s="2" t="inlineStr">
        <is>
          <t>ok</t>
        </is>
      </c>
      <c r="K78" s="2" t="inlineStr">
        <is>
          <t>yes</t>
        </is>
      </c>
      <c r="L78" s="2" t="inlineStr">
        <is>
          <t>Georgian script</t>
        </is>
      </c>
    </row>
    <row r="79">
      <c r="A79" s="2" t="inlineStr">
        <is>
          <t>A077-1</t>
        </is>
      </c>
      <c r="B79" s="2" t="inlineStr">
        <is>
          <t>A077</t>
        </is>
      </c>
      <c r="C79" s="2" t="inlineStr">
        <is>
          <t>Irakli Bugiani, "A Cosmic Event", 2021.JPG</t>
        </is>
      </c>
      <c r="D79" s="2" t="inlineStr">
        <is>
          <t>Irakli Bugiani</t>
        </is>
      </c>
      <c r="E79" s="2" t="inlineStr">
        <is>
          <t>A Cosmic Event</t>
        </is>
      </c>
      <c r="F79" s="2" t="n">
        <v>2021</v>
      </c>
      <c r="G79" s="2" t="inlineStr">
        <is>
          <t>landscape</t>
        </is>
      </c>
      <c r="H79" s="2" t="inlineStr">
        <is>
          <t>painting</t>
        </is>
      </c>
      <c r="I79" s="2" t="inlineStr">
        <is>
          <t>high</t>
        </is>
      </c>
      <c r="J79" s="2" t="inlineStr">
        <is>
          <t>ok</t>
        </is>
      </c>
      <c r="K79" s="2" t="inlineStr">
        <is>
          <t>yes</t>
        </is>
      </c>
      <c r="L79" s="2" t="inlineStr">
        <is>
          <t>sunset</t>
        </is>
      </c>
    </row>
    <row r="80">
      <c r="A80" s="2" t="inlineStr">
        <is>
          <t>A078-1</t>
        </is>
      </c>
      <c r="B80" s="2" t="inlineStr">
        <is>
          <t>A078</t>
        </is>
      </c>
      <c r="C80" s="2" t="inlineStr">
        <is>
          <t>Tamo Jugeli, Untitled 2020.JPG</t>
        </is>
      </c>
      <c r="D80" s="2" t="inlineStr">
        <is>
          <t>Tamo Jugeli</t>
        </is>
      </c>
      <c r="E80" s="2" t="inlineStr">
        <is>
          <t>Untitled</t>
        </is>
      </c>
      <c r="F80" s="2" t="n">
        <v>2020</v>
      </c>
      <c r="G80" s="2" t="inlineStr">
        <is>
          <t>abstract</t>
        </is>
      </c>
      <c r="H80" s="2" t="inlineStr">
        <is>
          <t>painting</t>
        </is>
      </c>
      <c r="I80" s="2" t="inlineStr">
        <is>
          <t>high</t>
        </is>
      </c>
      <c r="J80" s="2" t="inlineStr">
        <is>
          <t>ok</t>
        </is>
      </c>
      <c r="K80" s="2" t="inlineStr">
        <is>
          <t>yes</t>
        </is>
      </c>
      <c r="L80" s="2" t="inlineStr"/>
    </row>
    <row r="81">
      <c r="A81" s="2" t="inlineStr">
        <is>
          <t>X-080</t>
        </is>
      </c>
      <c r="B81" s="2" t="inlineStr"/>
      <c r="C81" s="2" t="inlineStr">
        <is>
          <t>IMG_0855.JPG</t>
        </is>
      </c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>
        <is>
          <t>no</t>
        </is>
      </c>
      <c r="L81" s="2" t="inlineStr">
        <is>
          <t>wall label only (Tamo Jugeli, Untitled, 2020)</t>
        </is>
      </c>
    </row>
    <row r="82">
      <c r="A82" s="2" t="inlineStr">
        <is>
          <t>A079-1</t>
        </is>
      </c>
      <c r="B82" s="2" t="inlineStr">
        <is>
          <t>A079</t>
        </is>
      </c>
      <c r="C82" s="2" t="inlineStr">
        <is>
          <t>Tamo Jugeli, Untitled, 2020.JPG</t>
        </is>
      </c>
      <c r="D82" s="2" t="inlineStr">
        <is>
          <t>Tamo Jugeli</t>
        </is>
      </c>
      <c r="E82" s="2" t="inlineStr">
        <is>
          <t>Untitled</t>
        </is>
      </c>
      <c r="F82" s="2" t="n">
        <v>2020</v>
      </c>
      <c r="G82" s="2" t="inlineStr">
        <is>
          <t>abstract</t>
        </is>
      </c>
      <c r="H82" s="2" t="inlineStr">
        <is>
          <t>painting</t>
        </is>
      </c>
      <c r="I82" s="2" t="inlineStr">
        <is>
          <t>high</t>
        </is>
      </c>
      <c r="J82" s="2" t="inlineStr">
        <is>
          <t>ok</t>
        </is>
      </c>
      <c r="K82" s="2" t="inlineStr">
        <is>
          <t>yes</t>
        </is>
      </c>
      <c r="L82" s="2" t="inlineStr"/>
    </row>
    <row r="83">
      <c r="A83" s="2" t="inlineStr">
        <is>
          <t>A080-1</t>
        </is>
      </c>
      <c r="B83" s="2" t="inlineStr">
        <is>
          <t>A080</t>
        </is>
      </c>
      <c r="C83" s="2" t="inlineStr">
        <is>
          <t>Nina Kintsurashvili "Topography".JPG</t>
        </is>
      </c>
      <c r="D83" s="2" t="inlineStr">
        <is>
          <t>Nina Kintsurashvili</t>
        </is>
      </c>
      <c r="E83" s="2" t="inlineStr">
        <is>
          <t>Topography</t>
        </is>
      </c>
      <c r="F83" s="2" t="inlineStr"/>
      <c r="G83" s="2" t="inlineStr">
        <is>
          <t>abstract</t>
        </is>
      </c>
      <c r="H83" s="2" t="inlineStr">
        <is>
          <t>painting</t>
        </is>
      </c>
      <c r="I83" s="2" t="inlineStr">
        <is>
          <t>high</t>
        </is>
      </c>
      <c r="J83" s="2" t="inlineStr">
        <is>
          <t>ok</t>
        </is>
      </c>
      <c r="K83" s="2" t="inlineStr">
        <is>
          <t>yes</t>
        </is>
      </c>
      <c r="L83" s="2" t="inlineStr"/>
    </row>
    <row r="84">
      <c r="A84" s="2" t="inlineStr">
        <is>
          <t>A081-1</t>
        </is>
      </c>
      <c r="B84" s="2" t="inlineStr">
        <is>
          <t>A081</t>
        </is>
      </c>
      <c r="C84" s="2" t="inlineStr">
        <is>
          <t>Nika Kutateladze, "Dinner", 2021.JPG</t>
        </is>
      </c>
      <c r="D84" s="2" t="inlineStr">
        <is>
          <t>Nika Kutateladze</t>
        </is>
      </c>
      <c r="E84" s="2" t="inlineStr">
        <is>
          <t>Dinner</t>
        </is>
      </c>
      <c r="F84" s="2" t="n">
        <v>2021</v>
      </c>
      <c r="G84" s="2" t="inlineStr">
        <is>
          <t>landscape</t>
        </is>
      </c>
      <c r="H84" s="2" t="inlineStr">
        <is>
          <t>painting</t>
        </is>
      </c>
      <c r="I84" s="2" t="inlineStr">
        <is>
          <t>low</t>
        </is>
      </c>
      <c r="J84" s="2" t="inlineStr">
        <is>
          <t>ok</t>
        </is>
      </c>
      <c r="K84" s="2" t="inlineStr">
        <is>
          <t>yes</t>
        </is>
      </c>
      <c r="L84" s="2" t="inlineStr">
        <is>
          <t>mountain landscape with picnic figures</t>
        </is>
      </c>
    </row>
    <row r="85">
      <c r="A85" s="2" t="inlineStr">
        <is>
          <t>A082-1</t>
        </is>
      </c>
      <c r="B85" s="2" t="inlineStr">
        <is>
          <t>A082</t>
        </is>
      </c>
      <c r="C85" s="2" t="inlineStr">
        <is>
          <t>Ushangi Khumarashvili, Abstraction5.JPG</t>
        </is>
      </c>
      <c r="D85" s="2" t="inlineStr">
        <is>
          <t>Ushangi Khumarashvili</t>
        </is>
      </c>
      <c r="E85" s="2" t="inlineStr">
        <is>
          <t>Abstraction 5</t>
        </is>
      </c>
      <c r="F85" s="2" t="inlineStr"/>
      <c r="G85" s="2" t="inlineStr">
        <is>
          <t>abstract</t>
        </is>
      </c>
      <c r="H85" s="2" t="inlineStr">
        <is>
          <t>painting</t>
        </is>
      </c>
      <c r="I85" s="2" t="inlineStr">
        <is>
          <t>high</t>
        </is>
      </c>
      <c r="J85" s="2" t="inlineStr">
        <is>
          <t>ok</t>
        </is>
      </c>
      <c r="K85" s="2" t="inlineStr">
        <is>
          <t>yes</t>
        </is>
      </c>
      <c r="L85" s="2" t="inlineStr"/>
    </row>
    <row r="86">
      <c r="A86" s="2" t="inlineStr">
        <is>
          <t>A083-1</t>
        </is>
      </c>
      <c r="B86" s="2" t="inlineStr">
        <is>
          <t>A083</t>
        </is>
      </c>
      <c r="C86" s="2" t="inlineStr">
        <is>
          <t>Maia Naveriani, 'Authentic Behavior", 2019.JPG</t>
        </is>
      </c>
      <c r="D86" s="2" t="inlineStr">
        <is>
          <t>Maia Naveriani</t>
        </is>
      </c>
      <c r="E86" s="2" t="inlineStr">
        <is>
          <t>Authentic Behavior</t>
        </is>
      </c>
      <c r="F86" s="2" t="n">
        <v>2019</v>
      </c>
      <c r="G86" s="2" t="inlineStr">
        <is>
          <t>figurative</t>
        </is>
      </c>
      <c r="H86" s="2" t="inlineStr">
        <is>
          <t>work_on_paper</t>
        </is>
      </c>
      <c r="I86" s="2" t="inlineStr">
        <is>
          <t>low</t>
        </is>
      </c>
      <c r="J86" s="2" t="inlineStr">
        <is>
          <t>ok</t>
        </is>
      </c>
      <c r="K86" s="2" t="inlineStr">
        <is>
          <t>yes</t>
        </is>
      </c>
      <c r="L86" s="2" t="inlineStr">
        <is>
          <t>coloured-pencil drawing</t>
        </is>
      </c>
    </row>
    <row r="87">
      <c r="A87" s="2" t="inlineStr">
        <is>
          <t>A084-1</t>
        </is>
      </c>
      <c r="B87" s="2" t="inlineStr">
        <is>
          <t>A084</t>
        </is>
      </c>
      <c r="C87" s="2" t="inlineStr">
        <is>
          <t>Dali Podiashvili, "Landscape*.JPG</t>
        </is>
      </c>
      <c r="D87" s="2" t="inlineStr">
        <is>
          <t>Dali Podiashvili</t>
        </is>
      </c>
      <c r="E87" s="2" t="inlineStr">
        <is>
          <t>Landscape</t>
        </is>
      </c>
      <c r="F87" s="2" t="inlineStr"/>
      <c r="G87" s="2" t="inlineStr">
        <is>
          <t>landscape</t>
        </is>
      </c>
      <c r="H87" s="2" t="inlineStr">
        <is>
          <t>painting</t>
        </is>
      </c>
      <c r="I87" s="2" t="inlineStr">
        <is>
          <t>high</t>
        </is>
      </c>
      <c r="J87" s="2" t="inlineStr">
        <is>
          <t>ok</t>
        </is>
      </c>
      <c r="K87" s="2" t="inlineStr">
        <is>
          <t>yes</t>
        </is>
      </c>
      <c r="L87" s="2" t="inlineStr">
        <is>
          <t>title from wall label (photo X-087)</t>
        </is>
      </c>
    </row>
    <row r="88">
      <c r="A88" s="2" t="inlineStr">
        <is>
          <t>X-087</t>
        </is>
      </c>
      <c r="B88" s="2" t="inlineStr"/>
      <c r="C88" s="2" t="inlineStr">
        <is>
          <t>IMG_8563.JPG</t>
        </is>
      </c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>
        <is>
          <t>no</t>
        </is>
      </c>
      <c r="L88" s="2" t="inlineStr">
        <is>
          <t>wall label only (Dali Podiashvili, Landscape)</t>
        </is>
      </c>
    </row>
    <row r="89">
      <c r="A89" s="2" t="inlineStr">
        <is>
          <t>A085-1</t>
        </is>
      </c>
      <c r="B89" s="2" t="inlineStr">
        <is>
          <t>A085</t>
        </is>
      </c>
      <c r="C89" s="2" t="inlineStr">
        <is>
          <t>IMG_8564.JPG</t>
        </is>
      </c>
      <c r="D89" s="2" t="inlineStr"/>
      <c r="E89" s="2" t="inlineStr"/>
      <c r="F89" s="2" t="inlineStr"/>
      <c r="G89" s="2" t="inlineStr">
        <is>
          <t>landscape</t>
        </is>
      </c>
      <c r="H89" s="2" t="inlineStr">
        <is>
          <t>work_on_paper</t>
        </is>
      </c>
      <c r="I89" s="2" t="inlineStr">
        <is>
          <t>high</t>
        </is>
      </c>
      <c r="J89" s="2" t="inlineStr">
        <is>
          <t>glare</t>
        </is>
      </c>
      <c r="K89" s="2" t="inlineStr">
        <is>
          <t>yes</t>
        </is>
      </c>
      <c r="L89" s="2" t="inlineStr">
        <is>
          <t>photographic poster</t>
        </is>
      </c>
    </row>
    <row r="90">
      <c r="A90" s="2" t="inlineStr">
        <is>
          <t>A086-1</t>
        </is>
      </c>
      <c r="B90" s="2" t="inlineStr">
        <is>
          <t>A086</t>
        </is>
      </c>
      <c r="C90" s="2" t="inlineStr">
        <is>
          <t>IMG_8565.JPG</t>
        </is>
      </c>
      <c r="D90" s="2" t="inlineStr"/>
      <c r="E90" s="2" t="inlineStr"/>
      <c r="F90" s="2" t="inlineStr"/>
      <c r="G90" s="2" t="inlineStr">
        <is>
          <t>landscape</t>
        </is>
      </c>
      <c r="H90" s="2" t="inlineStr">
        <is>
          <t>work_on_paper</t>
        </is>
      </c>
      <c r="I90" s="2" t="inlineStr">
        <is>
          <t>high</t>
        </is>
      </c>
      <c r="J90" s="2" t="inlineStr">
        <is>
          <t>ok</t>
        </is>
      </c>
      <c r="K90" s="2" t="inlineStr">
        <is>
          <t>yes</t>
        </is>
      </c>
      <c r="L90" s="2" t="inlineStr">
        <is>
          <t>photographic poster</t>
        </is>
      </c>
    </row>
    <row r="91">
      <c r="A91" s="2" t="inlineStr">
        <is>
          <t>A087-1</t>
        </is>
      </c>
      <c r="B91" s="2" t="inlineStr">
        <is>
          <t>A087</t>
        </is>
      </c>
      <c r="C91" s="2" t="inlineStr">
        <is>
          <t>Tekla Meladze "SHEREKILEBI".JPG</t>
        </is>
      </c>
      <c r="D91" s="2" t="inlineStr">
        <is>
          <t>Tekla Meladze</t>
        </is>
      </c>
      <c r="E91" s="2" t="inlineStr">
        <is>
          <t>Sherekilebi</t>
        </is>
      </c>
      <c r="F91" s="2" t="inlineStr"/>
      <c r="G91" s="2" t="inlineStr">
        <is>
          <t>figurative</t>
        </is>
      </c>
      <c r="H91" s="2" t="inlineStr">
        <is>
          <t>painting</t>
        </is>
      </c>
      <c r="I91" s="2" t="inlineStr">
        <is>
          <t>low</t>
        </is>
      </c>
      <c r="J91" s="2" t="inlineStr">
        <is>
          <t>ok</t>
        </is>
      </c>
      <c r="K91" s="2" t="inlineStr">
        <is>
          <t>yes</t>
        </is>
      </c>
      <c r="L91" s="2" t="inlineStr">
        <is>
          <t>rooster with symbols</t>
        </is>
      </c>
    </row>
    <row r="92">
      <c r="A92" s="2" t="inlineStr">
        <is>
          <t>A088-1</t>
        </is>
      </c>
      <c r="B92" s="2" t="inlineStr">
        <is>
          <t>A088</t>
        </is>
      </c>
      <c r="C92" s="2" t="inlineStr">
        <is>
          <t>IMG_8566.JPG</t>
        </is>
      </c>
      <c r="D92" s="2" t="inlineStr"/>
      <c r="E92" s="2" t="inlineStr"/>
      <c r="F92" s="2" t="inlineStr"/>
      <c r="G92" s="2" t="inlineStr">
        <is>
          <t>figurative</t>
        </is>
      </c>
      <c r="H92" s="2" t="inlineStr">
        <is>
          <t>painting</t>
        </is>
      </c>
      <c r="I92" s="2" t="inlineStr">
        <is>
          <t>high</t>
        </is>
      </c>
      <c r="J92" s="2" t="inlineStr">
        <is>
          <t>ok</t>
        </is>
      </c>
      <c r="K92" s="2" t="inlineStr">
        <is>
          <t>yes</t>
        </is>
      </c>
      <c r="L92" s="2" t="inlineStr"/>
    </row>
    <row r="93">
      <c r="A93" s="2" t="inlineStr">
        <is>
          <t>A089-1</t>
        </is>
      </c>
      <c r="B93" s="2" t="inlineStr">
        <is>
          <t>A089</t>
        </is>
      </c>
      <c r="C93" s="2" t="inlineStr">
        <is>
          <t>IMG_8567.JPG</t>
        </is>
      </c>
      <c r="D93" s="2" t="inlineStr"/>
      <c r="E93" s="2" t="inlineStr"/>
      <c r="F93" s="2" t="inlineStr"/>
      <c r="G93" s="2" t="inlineStr">
        <is>
          <t>landscape</t>
        </is>
      </c>
      <c r="H93" s="2" t="inlineStr">
        <is>
          <t>work_on_paper</t>
        </is>
      </c>
      <c r="I93" s="2" t="inlineStr">
        <is>
          <t>high</t>
        </is>
      </c>
      <c r="J93" s="2" t="inlineStr">
        <is>
          <t>ok</t>
        </is>
      </c>
      <c r="K93" s="2" t="inlineStr">
        <is>
          <t>yes</t>
        </is>
      </c>
      <c r="L93" s="2" t="inlineStr">
        <is>
          <t>photographic poster</t>
        </is>
      </c>
    </row>
    <row r="94">
      <c r="A94" s="2" t="inlineStr">
        <is>
          <t>A090-1</t>
        </is>
      </c>
      <c r="B94" s="2" t="inlineStr">
        <is>
          <t>A090</t>
        </is>
      </c>
      <c r="C94" s="2" t="inlineStr">
        <is>
          <t>IMG_8568.JPG</t>
        </is>
      </c>
      <c r="D94" s="2" t="inlineStr"/>
      <c r="E94" s="2" t="inlineStr"/>
      <c r="F94" s="2" t="inlineStr"/>
      <c r="G94" s="2" t="inlineStr">
        <is>
          <t>landscape</t>
        </is>
      </c>
      <c r="H94" s="2" t="inlineStr">
        <is>
          <t>painting</t>
        </is>
      </c>
      <c r="I94" s="2" t="inlineStr">
        <is>
          <t>high</t>
        </is>
      </c>
      <c r="J94" s="2" t="inlineStr">
        <is>
          <t>ok</t>
        </is>
      </c>
      <c r="K94" s="2" t="inlineStr">
        <is>
          <t>yes</t>
        </is>
      </c>
      <c r="L94" s="2" t="inlineStr">
        <is>
          <t>village, black and white</t>
        </is>
      </c>
    </row>
    <row r="95">
      <c r="A95" s="2" t="inlineStr">
        <is>
          <t>A091-1</t>
        </is>
      </c>
      <c r="B95" s="2" t="inlineStr">
        <is>
          <t>A091</t>
        </is>
      </c>
      <c r="C95" s="2" t="inlineStr">
        <is>
          <t>IMG_8569.JPG</t>
        </is>
      </c>
      <c r="D95" s="2" t="inlineStr"/>
      <c r="E95" s="2" t="inlineStr"/>
      <c r="F95" s="2" t="inlineStr"/>
      <c r="G95" s="2" t="inlineStr">
        <is>
          <t>figurative</t>
        </is>
      </c>
      <c r="H95" s="2" t="inlineStr">
        <is>
          <t>painting</t>
        </is>
      </c>
      <c r="I95" s="2" t="inlineStr">
        <is>
          <t>low</t>
        </is>
      </c>
      <c r="J95" s="2" t="inlineStr">
        <is>
          <t>ok</t>
        </is>
      </c>
      <c r="K95" s="2" t="inlineStr">
        <is>
          <t>yes</t>
        </is>
      </c>
      <c r="L95" s="2" t="inlineStr">
        <is>
          <t>village with many figures</t>
        </is>
      </c>
    </row>
    <row r="96">
      <c r="A96" s="2" t="inlineStr">
        <is>
          <t>A092-1</t>
        </is>
      </c>
      <c r="B96" s="2" t="inlineStr">
        <is>
          <t>A092</t>
        </is>
      </c>
      <c r="C96" s="2" t="inlineStr">
        <is>
          <t>IMG_8570.JPG</t>
        </is>
      </c>
      <c r="D96" s="2" t="inlineStr"/>
      <c r="E96" s="2" t="inlineStr"/>
      <c r="F96" s="2" t="inlineStr"/>
      <c r="G96" s="2" t="inlineStr">
        <is>
          <t>landscape</t>
        </is>
      </c>
      <c r="H96" s="2" t="inlineStr">
        <is>
          <t>painting</t>
        </is>
      </c>
      <c r="I96" s="2" t="inlineStr">
        <is>
          <t>high</t>
        </is>
      </c>
      <c r="J96" s="2" t="inlineStr">
        <is>
          <t>ok</t>
        </is>
      </c>
      <c r="K96" s="2" t="inlineStr">
        <is>
          <t>yes</t>
        </is>
      </c>
      <c r="L96" s="2" t="inlineStr">
        <is>
          <t>houses on water</t>
        </is>
      </c>
    </row>
    <row r="97">
      <c r="A97" s="2" t="inlineStr">
        <is>
          <t>A093-1</t>
        </is>
      </c>
      <c r="B97" s="2" t="inlineStr">
        <is>
          <t>A093</t>
        </is>
      </c>
      <c r="C97" s="2" t="inlineStr">
        <is>
          <t>IMG_8571.JPG</t>
        </is>
      </c>
      <c r="D97" s="2" t="inlineStr"/>
      <c r="E97" s="2" t="inlineStr"/>
      <c r="F97" s="2" t="inlineStr"/>
      <c r="G97" s="2" t="inlineStr">
        <is>
          <t>figurative</t>
        </is>
      </c>
      <c r="H97" s="2" t="inlineStr">
        <is>
          <t>painting</t>
        </is>
      </c>
      <c r="I97" s="2" t="inlineStr">
        <is>
          <t>high</t>
        </is>
      </c>
      <c r="J97" s="2" t="inlineStr">
        <is>
          <t>ok</t>
        </is>
      </c>
      <c r="K97" s="2" t="inlineStr">
        <is>
          <t>yes</t>
        </is>
      </c>
      <c r="L97" s="2" t="inlineStr">
        <is>
          <t>market women</t>
        </is>
      </c>
    </row>
    <row r="98">
      <c r="A98" s="2" t="inlineStr">
        <is>
          <t>A094-1</t>
        </is>
      </c>
      <c r="B98" s="2" t="inlineStr">
        <is>
          <t>A094</t>
        </is>
      </c>
      <c r="C98" s="2" t="inlineStr">
        <is>
          <t>IMG_8572.JPG</t>
        </is>
      </c>
      <c r="D98" s="2" t="inlineStr"/>
      <c r="E98" s="2" t="inlineStr"/>
      <c r="F98" s="2" t="inlineStr"/>
      <c r="G98" s="2" t="inlineStr">
        <is>
          <t>landscape</t>
        </is>
      </c>
      <c r="H98" s="2" t="inlineStr">
        <is>
          <t>work_on_paper</t>
        </is>
      </c>
      <c r="I98" s="2" t="inlineStr">
        <is>
          <t>high</t>
        </is>
      </c>
      <c r="J98" s="2" t="inlineStr">
        <is>
          <t>ok</t>
        </is>
      </c>
      <c r="K98" s="2" t="inlineStr">
        <is>
          <t>yes</t>
        </is>
      </c>
      <c r="L98" s="2" t="inlineStr">
        <is>
          <t>photographic poster</t>
        </is>
      </c>
    </row>
    <row r="99">
      <c r="A99" s="2" t="inlineStr">
        <is>
          <t>A095-1</t>
        </is>
      </c>
      <c r="B99" s="2" t="inlineStr">
        <is>
          <t>A095</t>
        </is>
      </c>
      <c r="C99" s="2" t="inlineStr">
        <is>
          <t>IMG_0866.JPG</t>
        </is>
      </c>
      <c r="D99" s="2" t="inlineStr"/>
      <c r="E99" s="2" t="inlineStr"/>
      <c r="F99" s="2" t="inlineStr"/>
      <c r="G99" s="2" t="inlineStr">
        <is>
          <t>landscape</t>
        </is>
      </c>
      <c r="H99" s="2" t="inlineStr">
        <is>
          <t>painting</t>
        </is>
      </c>
      <c r="I99" s="2" t="inlineStr">
        <is>
          <t>high</t>
        </is>
      </c>
      <c r="J99" s="2" t="inlineStr">
        <is>
          <t>ok</t>
        </is>
      </c>
      <c r="K99" s="2" t="inlineStr">
        <is>
          <t>yes</t>
        </is>
      </c>
      <c r="L99" s="2" t="inlineStr">
        <is>
          <t>boats / seascape</t>
        </is>
      </c>
    </row>
    <row r="100">
      <c r="A100" s="2" t="inlineStr">
        <is>
          <t>A096-1</t>
        </is>
      </c>
      <c r="B100" s="2" t="inlineStr">
        <is>
          <t>A096</t>
        </is>
      </c>
      <c r="C100" s="2" t="inlineStr">
        <is>
          <t>IMG_0867.JPG</t>
        </is>
      </c>
      <c r="D100" s="2" t="inlineStr"/>
      <c r="E100" s="2" t="inlineStr"/>
      <c r="F100" s="2" t="inlineStr"/>
      <c r="G100" s="2" t="inlineStr">
        <is>
          <t>figurative</t>
        </is>
      </c>
      <c r="H100" s="2" t="inlineStr">
        <is>
          <t>painting</t>
        </is>
      </c>
      <c r="I100" s="2" t="inlineStr">
        <is>
          <t>high</t>
        </is>
      </c>
      <c r="J100" s="2" t="inlineStr">
        <is>
          <t>angle</t>
        </is>
      </c>
      <c r="K100" s="2" t="inlineStr">
        <is>
          <t>yes</t>
        </is>
      </c>
      <c r="L100" s="2" t="inlineStr">
        <is>
          <t>religious icon</t>
        </is>
      </c>
    </row>
    <row r="101">
      <c r="A101" s="2" t="inlineStr">
        <is>
          <t>A097-1</t>
        </is>
      </c>
      <c r="B101" s="2" t="inlineStr">
        <is>
          <t>A097</t>
        </is>
      </c>
      <c r="C101" s="2" t="inlineStr">
        <is>
          <t>IMG_0868.JPG</t>
        </is>
      </c>
      <c r="D101" s="2" t="inlineStr"/>
      <c r="E101" s="2" t="inlineStr"/>
      <c r="F101" s="2" t="inlineStr"/>
      <c r="G101" s="2" t="inlineStr">
        <is>
          <t>figurative</t>
        </is>
      </c>
      <c r="H101" s="2" t="inlineStr">
        <is>
          <t>painting</t>
        </is>
      </c>
      <c r="I101" s="2" t="inlineStr">
        <is>
          <t>high</t>
        </is>
      </c>
      <c r="J101" s="2" t="inlineStr">
        <is>
          <t>angle</t>
        </is>
      </c>
      <c r="K101" s="2" t="inlineStr">
        <is>
          <t>yes</t>
        </is>
      </c>
      <c r="L101" s="2" t="inlineStr">
        <is>
          <t>religious icon</t>
        </is>
      </c>
    </row>
    <row r="102">
      <c r="A102" s="2" t="inlineStr">
        <is>
          <t>A098-1</t>
        </is>
      </c>
      <c r="B102" s="2" t="inlineStr">
        <is>
          <t>A098</t>
        </is>
      </c>
      <c r="C102" s="2" t="inlineStr">
        <is>
          <t>IMG_0869.JPG</t>
        </is>
      </c>
      <c r="D102" s="2" t="inlineStr"/>
      <c r="E102" s="2" t="inlineStr"/>
      <c r="F102" s="2" t="inlineStr"/>
      <c r="G102" s="2" t="inlineStr">
        <is>
          <t>figurative</t>
        </is>
      </c>
      <c r="H102" s="2" t="inlineStr">
        <is>
          <t>painting</t>
        </is>
      </c>
      <c r="I102" s="2" t="inlineStr">
        <is>
          <t>high</t>
        </is>
      </c>
      <c r="J102" s="2" t="inlineStr">
        <is>
          <t>angle</t>
        </is>
      </c>
      <c r="K102" s="2" t="inlineStr">
        <is>
          <t>yes</t>
        </is>
      </c>
      <c r="L102" s="2" t="inlineStr">
        <is>
          <t>religious icon</t>
        </is>
      </c>
    </row>
    <row r="103">
      <c r="A103" s="2" t="inlineStr">
        <is>
          <t>A099-1</t>
        </is>
      </c>
      <c r="B103" s="2" t="inlineStr">
        <is>
          <t>A099</t>
        </is>
      </c>
      <c r="C103" s="2" t="inlineStr">
        <is>
          <t>IMG_8573.JPG</t>
        </is>
      </c>
      <c r="D103" s="2" t="inlineStr"/>
      <c r="E103" s="2" t="inlineStr"/>
      <c r="F103" s="2" t="inlineStr"/>
      <c r="G103" s="2" t="inlineStr">
        <is>
          <t>figurative</t>
        </is>
      </c>
      <c r="H103" s="2" t="inlineStr">
        <is>
          <t>mixed_media</t>
        </is>
      </c>
      <c r="I103" s="2" t="inlineStr">
        <is>
          <t>high</t>
        </is>
      </c>
      <c r="J103" s="2" t="inlineStr">
        <is>
          <t>ok</t>
        </is>
      </c>
      <c r="K103" s="2" t="inlineStr">
        <is>
          <t>yes</t>
        </is>
      </c>
      <c r="L103" s="2" t="inlineStr">
        <is>
          <t>figures made from drink-can labels</t>
        </is>
      </c>
    </row>
    <row r="104">
      <c r="A104" s="2" t="inlineStr">
        <is>
          <t>A021-2</t>
        </is>
      </c>
      <c r="B104" s="2" t="inlineStr">
        <is>
          <t>A021</t>
        </is>
      </c>
      <c r="C104" s="2" t="inlineStr">
        <is>
          <t>IMG_0899.JPG</t>
        </is>
      </c>
      <c r="D104" s="2" t="inlineStr"/>
      <c r="E104" s="2" t="inlineStr"/>
      <c r="F104" s="2" t="inlineStr"/>
      <c r="G104" s="2" t="inlineStr">
        <is>
          <t>landscape</t>
        </is>
      </c>
      <c r="H104" s="2" t="inlineStr">
        <is>
          <t>painting</t>
        </is>
      </c>
      <c r="I104" s="2" t="inlineStr">
        <is>
          <t>high</t>
        </is>
      </c>
      <c r="J104" s="2" t="inlineStr">
        <is>
          <t>ok</t>
        </is>
      </c>
      <c r="K104" s="2" t="inlineStr">
        <is>
          <t>yes</t>
        </is>
      </c>
      <c r="L104" s="2" t="inlineStr">
        <is>
          <t>second photo of A021 (same artwork)</t>
        </is>
      </c>
    </row>
    <row r="105">
      <c r="A105" s="2" t="inlineStr">
        <is>
          <t>A100-1</t>
        </is>
      </c>
      <c r="B105" s="2" t="inlineStr">
        <is>
          <t>A100</t>
        </is>
      </c>
      <c r="C105" s="2" t="inlineStr">
        <is>
          <t>IMG_8732.JPG</t>
        </is>
      </c>
      <c r="D105" s="2" t="inlineStr"/>
      <c r="E105" s="2" t="inlineStr"/>
      <c r="F105" s="2" t="inlineStr"/>
      <c r="G105" s="2" t="inlineStr">
        <is>
          <t>other</t>
        </is>
      </c>
      <c r="H105" s="2" t="inlineStr">
        <is>
          <t>work_on_paper</t>
        </is>
      </c>
      <c r="I105" s="2" t="inlineStr">
        <is>
          <t>low</t>
        </is>
      </c>
      <c r="J105" s="2" t="inlineStr">
        <is>
          <t>angle</t>
        </is>
      </c>
      <c r="K105" s="2" t="inlineStr">
        <is>
          <t>no</t>
        </is>
      </c>
      <c r="L105" s="2" t="inlineStr">
        <is>
          <t>interior; same series as next two; class 'other' too small, not used</t>
        </is>
      </c>
    </row>
    <row r="106">
      <c r="A106" s="2" t="inlineStr">
        <is>
          <t>A101-1</t>
        </is>
      </c>
      <c r="B106" s="2" t="inlineStr">
        <is>
          <t>A101</t>
        </is>
      </c>
      <c r="C106" s="2" t="inlineStr">
        <is>
          <t>IMG_8733.JPG</t>
        </is>
      </c>
      <c r="D106" s="2" t="inlineStr"/>
      <c r="E106" s="2" t="inlineStr"/>
      <c r="F106" s="2" t="inlineStr"/>
      <c r="G106" s="2" t="inlineStr">
        <is>
          <t>other</t>
        </is>
      </c>
      <c r="H106" s="2" t="inlineStr">
        <is>
          <t>work_on_paper</t>
        </is>
      </c>
      <c r="I106" s="2" t="inlineStr">
        <is>
          <t>low</t>
        </is>
      </c>
      <c r="J106" s="2" t="inlineStr">
        <is>
          <t>ok</t>
        </is>
      </c>
      <c r="K106" s="2" t="inlineStr">
        <is>
          <t>no</t>
        </is>
      </c>
      <c r="L106" s="2" t="inlineStr">
        <is>
          <t>interior; class 'other' too small, not used</t>
        </is>
      </c>
    </row>
    <row r="107">
      <c r="A107" s="2" t="inlineStr">
        <is>
          <t>A102-1</t>
        </is>
      </c>
      <c r="B107" s="2" t="inlineStr">
        <is>
          <t>A102</t>
        </is>
      </c>
      <c r="C107" s="2" t="inlineStr">
        <is>
          <t>IMG_8734.JPG</t>
        </is>
      </c>
      <c r="D107" s="2" t="inlineStr"/>
      <c r="E107" s="2" t="inlineStr"/>
      <c r="F107" s="2" t="inlineStr"/>
      <c r="G107" s="2" t="inlineStr">
        <is>
          <t>other</t>
        </is>
      </c>
      <c r="H107" s="2" t="inlineStr">
        <is>
          <t>work_on_paper</t>
        </is>
      </c>
      <c r="I107" s="2" t="inlineStr">
        <is>
          <t>low</t>
        </is>
      </c>
      <c r="J107" s="2" t="inlineStr">
        <is>
          <t>ok</t>
        </is>
      </c>
      <c r="K107" s="2" t="inlineStr">
        <is>
          <t>no</t>
        </is>
      </c>
      <c r="L107" s="2" t="inlineStr">
        <is>
          <t>interior; class 'other' too small, not used</t>
        </is>
      </c>
    </row>
    <row r="108">
      <c r="A108" s="2" t="inlineStr">
        <is>
          <t>A103-1</t>
        </is>
      </c>
      <c r="B108" s="2" t="inlineStr">
        <is>
          <t>A103</t>
        </is>
      </c>
      <c r="C108" s="2" t="inlineStr">
        <is>
          <t>IMG_0900.JPG</t>
        </is>
      </c>
      <c r="D108" s="2" t="inlineStr"/>
      <c r="E108" s="2" t="inlineStr"/>
      <c r="F108" s="2" t="inlineStr"/>
      <c r="G108" s="2" t="inlineStr">
        <is>
          <t>landscape</t>
        </is>
      </c>
      <c r="H108" s="2" t="inlineStr">
        <is>
          <t>painting</t>
        </is>
      </c>
      <c r="I108" s="2" t="inlineStr">
        <is>
          <t>high</t>
        </is>
      </c>
      <c r="J108" s="2" t="inlineStr">
        <is>
          <t>ok</t>
        </is>
      </c>
      <c r="K108" s="2" t="inlineStr">
        <is>
          <t>yes</t>
        </is>
      </c>
      <c r="L108" s="2" t="inlineStr">
        <is>
          <t>Istanbul cityscape</t>
        </is>
      </c>
    </row>
    <row r="109">
      <c r="A109" s="2" t="inlineStr">
        <is>
          <t>A104-1</t>
        </is>
      </c>
      <c r="B109" s="2" t="inlineStr">
        <is>
          <t>A104</t>
        </is>
      </c>
      <c r="C109" s="2" t="inlineStr">
        <is>
          <t>IMG_0901.JPG</t>
        </is>
      </c>
      <c r="D109" s="2" t="inlineStr"/>
      <c r="E109" s="2" t="inlineStr"/>
      <c r="F109" s="2" t="inlineStr"/>
      <c r="G109" s="2" t="inlineStr">
        <is>
          <t>landscape</t>
        </is>
      </c>
      <c r="H109" s="2" t="inlineStr">
        <is>
          <t>painting</t>
        </is>
      </c>
      <c r="I109" s="2" t="inlineStr">
        <is>
          <t>high</t>
        </is>
      </c>
      <c r="J109" s="2" t="inlineStr">
        <is>
          <t>ok</t>
        </is>
      </c>
      <c r="K109" s="2" t="inlineStr">
        <is>
          <t>yes</t>
        </is>
      </c>
      <c r="L109" s="2" t="inlineStr">
        <is>
          <t>Istanbul cityscape</t>
        </is>
      </c>
    </row>
    <row r="110">
      <c r="A110" s="2" t="inlineStr">
        <is>
          <t>A105-1</t>
        </is>
      </c>
      <c r="B110" s="2" t="inlineStr">
        <is>
          <t>A105</t>
        </is>
      </c>
      <c r="C110" s="2" t="inlineStr">
        <is>
          <t>IMG_8735.JPG</t>
        </is>
      </c>
      <c r="D110" s="2" t="inlineStr"/>
      <c r="E110" s="2" t="inlineStr"/>
      <c r="F110" s="2" t="inlineStr"/>
      <c r="G110" s="2" t="inlineStr">
        <is>
          <t>figurative</t>
        </is>
      </c>
      <c r="H110" s="2" t="inlineStr">
        <is>
          <t>work_on_paper</t>
        </is>
      </c>
      <c r="I110" s="2" t="inlineStr">
        <is>
          <t>low</t>
        </is>
      </c>
      <c r="J110" s="2" t="inlineStr">
        <is>
          <t>glare</t>
        </is>
      </c>
      <c r="K110" s="2" t="inlineStr">
        <is>
          <t>yes</t>
        </is>
      </c>
      <c r="L110" s="2" t="inlineStr">
        <is>
          <t>religious icon; possibly on parchment</t>
        </is>
      </c>
    </row>
    <row r="111">
      <c r="A111" s="2" t="inlineStr">
        <is>
          <t>A106-1</t>
        </is>
      </c>
      <c r="B111" s="2" t="inlineStr">
        <is>
          <t>A106</t>
        </is>
      </c>
      <c r="C111" s="2" t="inlineStr">
        <is>
          <t>IMG_0902.JPG</t>
        </is>
      </c>
      <c r="D111" s="2" t="inlineStr"/>
      <c r="E111" s="2" t="inlineStr"/>
      <c r="F111" s="2" t="inlineStr"/>
      <c r="G111" s="2" t="inlineStr">
        <is>
          <t>landscape</t>
        </is>
      </c>
      <c r="H111" s="2" t="inlineStr">
        <is>
          <t>painting</t>
        </is>
      </c>
      <c r="I111" s="2" t="inlineStr">
        <is>
          <t>high</t>
        </is>
      </c>
      <c r="J111" s="2" t="inlineStr">
        <is>
          <t>ok</t>
        </is>
      </c>
      <c r="K111" s="2" t="inlineStr">
        <is>
          <t>yes</t>
        </is>
      </c>
      <c r="L111" s="2" t="inlineStr">
        <is>
          <t>ferry / seascape</t>
        </is>
      </c>
    </row>
    <row r="112">
      <c r="A112" s="2" t="inlineStr">
        <is>
          <t>A107-1</t>
        </is>
      </c>
      <c r="B112" s="2" t="inlineStr">
        <is>
          <t>A107</t>
        </is>
      </c>
      <c r="C112" s="2" t="inlineStr">
        <is>
          <t>IMG_8736.JPG</t>
        </is>
      </c>
      <c r="D112" s="2" t="inlineStr"/>
      <c r="E112" s="2" t="inlineStr"/>
      <c r="F112" s="2" t="inlineStr"/>
      <c r="G112" s="2" t="inlineStr">
        <is>
          <t>figurative</t>
        </is>
      </c>
      <c r="H112" s="2" t="inlineStr">
        <is>
          <t>work_on_paper</t>
        </is>
      </c>
      <c r="I112" s="2" t="inlineStr">
        <is>
          <t>low</t>
        </is>
      </c>
      <c r="J112" s="2" t="inlineStr">
        <is>
          <t>glare</t>
        </is>
      </c>
      <c r="K112" s="2" t="inlineStr">
        <is>
          <t>yes</t>
        </is>
      </c>
      <c r="L112" s="2" t="inlineStr">
        <is>
          <t>religious icon; possibly on parchment</t>
        </is>
      </c>
    </row>
    <row r="113">
      <c r="A113" s="2" t="inlineStr">
        <is>
          <t>A108-1</t>
        </is>
      </c>
      <c r="B113" s="2" t="inlineStr">
        <is>
          <t>A108</t>
        </is>
      </c>
      <c r="C113" s="2" t="inlineStr">
        <is>
          <t>IMG_0903.JPG</t>
        </is>
      </c>
      <c r="D113" s="2" t="inlineStr"/>
      <c r="E113" s="2" t="inlineStr"/>
      <c r="F113" s="2" t="inlineStr"/>
      <c r="G113" s="2" t="inlineStr">
        <is>
          <t>landscape</t>
        </is>
      </c>
      <c r="H113" s="2" t="inlineStr">
        <is>
          <t>painting</t>
        </is>
      </c>
      <c r="I113" s="2" t="inlineStr">
        <is>
          <t>high</t>
        </is>
      </c>
      <c r="J113" s="2" t="inlineStr">
        <is>
          <t>ok</t>
        </is>
      </c>
      <c r="K113" s="2" t="inlineStr">
        <is>
          <t>yes</t>
        </is>
      </c>
      <c r="L113" s="2" t="inlineStr">
        <is>
          <t>seascape with tower</t>
        </is>
      </c>
    </row>
    <row r="114">
      <c r="A114" s="2" t="inlineStr">
        <is>
          <t>A109-1</t>
        </is>
      </c>
      <c r="B114" s="2" t="inlineStr">
        <is>
          <t>A109</t>
        </is>
      </c>
      <c r="C114" s="2" t="inlineStr">
        <is>
          <t>IMG_0904.JPG</t>
        </is>
      </c>
      <c r="D114" s="2" t="inlineStr"/>
      <c r="E114" s="2" t="inlineStr"/>
      <c r="F114" s="2" t="inlineStr"/>
      <c r="G114" s="2" t="inlineStr">
        <is>
          <t>landscape</t>
        </is>
      </c>
      <c r="H114" s="2" t="inlineStr">
        <is>
          <t>painting</t>
        </is>
      </c>
      <c r="I114" s="2" t="inlineStr">
        <is>
          <t>high</t>
        </is>
      </c>
      <c r="J114" s="2" t="inlineStr">
        <is>
          <t>ok</t>
        </is>
      </c>
      <c r="K114" s="2" t="inlineStr">
        <is>
          <t>yes</t>
        </is>
      </c>
      <c r="L114" s="2" t="inlineStr">
        <is>
          <t>church building</t>
        </is>
      </c>
    </row>
    <row r="115">
      <c r="A115" s="2" t="inlineStr">
        <is>
          <t>A110-1</t>
        </is>
      </c>
      <c r="B115" s="2" t="inlineStr">
        <is>
          <t>A110</t>
        </is>
      </c>
      <c r="C115" s="2" t="inlineStr">
        <is>
          <t>IMG_0905.JPG</t>
        </is>
      </c>
      <c r="D115" s="2" t="inlineStr"/>
      <c r="E115" s="2" t="inlineStr"/>
      <c r="F115" s="2" t="inlineStr"/>
      <c r="G115" s="2" t="inlineStr">
        <is>
          <t>still_life</t>
        </is>
      </c>
      <c r="H115" s="2" t="inlineStr">
        <is>
          <t>painting</t>
        </is>
      </c>
      <c r="I115" s="2" t="inlineStr">
        <is>
          <t>high</t>
        </is>
      </c>
      <c r="J115" s="2" t="inlineStr">
        <is>
          <t>ok</t>
        </is>
      </c>
      <c r="K115" s="2" t="inlineStr">
        <is>
          <t>no</t>
        </is>
      </c>
      <c r="L115" s="2" t="inlineStr">
        <is>
          <t>roses; class 'still_life' too small, not used</t>
        </is>
      </c>
    </row>
    <row r="116">
      <c r="A116" s="2" t="inlineStr">
        <is>
          <t>A111-1</t>
        </is>
      </c>
      <c r="B116" s="2" t="inlineStr">
        <is>
          <t>A111</t>
        </is>
      </c>
      <c r="C116" s="2" t="inlineStr">
        <is>
          <t>Giorgi Mirzashvili, "White House", 2021.JPG</t>
        </is>
      </c>
      <c r="D116" s="2" t="inlineStr">
        <is>
          <t>Giorgi Mirzashvili</t>
        </is>
      </c>
      <c r="E116" s="2" t="inlineStr">
        <is>
          <t>White House</t>
        </is>
      </c>
      <c r="F116" s="2" t="n">
        <v>2021</v>
      </c>
      <c r="G116" s="2" t="inlineStr">
        <is>
          <t>landscape</t>
        </is>
      </c>
      <c r="H116" s="2" t="inlineStr">
        <is>
          <t>painting</t>
        </is>
      </c>
      <c r="I116" s="2" t="inlineStr">
        <is>
          <t>high</t>
        </is>
      </c>
      <c r="J116" s="2" t="inlineStr">
        <is>
          <t>ok</t>
        </is>
      </c>
      <c r="K116" s="2" t="inlineStr">
        <is>
          <t>yes</t>
        </is>
      </c>
      <c r="L116" s="2" t="inlineStr"/>
    </row>
    <row r="117">
      <c r="A117" s="2" t="inlineStr">
        <is>
          <t>A112-1</t>
        </is>
      </c>
      <c r="B117" s="2" t="inlineStr">
        <is>
          <t>A112</t>
        </is>
      </c>
      <c r="C117" s="2" t="inlineStr">
        <is>
          <t>IMG_0908.JPG</t>
        </is>
      </c>
      <c r="D117" s="2" t="inlineStr"/>
      <c r="E117" s="2" t="inlineStr"/>
      <c r="F117" s="2" t="inlineStr"/>
      <c r="G117" s="2" t="inlineStr">
        <is>
          <t>landscape</t>
        </is>
      </c>
      <c r="H117" s="2" t="inlineStr">
        <is>
          <t>painting</t>
        </is>
      </c>
      <c r="I117" s="2" t="inlineStr">
        <is>
          <t>high</t>
        </is>
      </c>
      <c r="J117" s="2" t="inlineStr">
        <is>
          <t>ok</t>
        </is>
      </c>
      <c r="K117" s="2" t="inlineStr">
        <is>
          <t>yes</t>
        </is>
      </c>
      <c r="L117" s="2" t="inlineStr">
        <is>
          <t>old town street</t>
        </is>
      </c>
    </row>
    <row r="118">
      <c r="A118" s="2" t="inlineStr">
        <is>
          <t>A113-1</t>
        </is>
      </c>
      <c r="B118" s="2" t="inlineStr">
        <is>
          <t>A113</t>
        </is>
      </c>
      <c r="C118" s="2" t="inlineStr">
        <is>
          <t>IMG_8737.JPG</t>
        </is>
      </c>
      <c r="D118" s="2" t="inlineStr"/>
      <c r="E118" s="2" t="inlineStr"/>
      <c r="F118" s="2" t="inlineStr"/>
      <c r="G118" s="2" t="inlineStr">
        <is>
          <t>landscape</t>
        </is>
      </c>
      <c r="H118" s="2" t="inlineStr">
        <is>
          <t>painting</t>
        </is>
      </c>
      <c r="I118" s="2" t="inlineStr">
        <is>
          <t>high</t>
        </is>
      </c>
      <c r="J118" s="2" t="inlineStr">
        <is>
          <t>ok</t>
        </is>
      </c>
      <c r="K118" s="2" t="inlineStr">
        <is>
          <t>yes</t>
        </is>
      </c>
      <c r="L118" s="2" t="inlineStr">
        <is>
          <t>night, houses on water</t>
        </is>
      </c>
    </row>
    <row r="119">
      <c r="A119" s="2" t="inlineStr">
        <is>
          <t>A114-1</t>
        </is>
      </c>
      <c r="B119" s="2" t="inlineStr">
        <is>
          <t>A114</t>
        </is>
      </c>
      <c r="C119" s="2" t="inlineStr">
        <is>
          <t>IMG_0909.JPG</t>
        </is>
      </c>
      <c r="D119" s="2" t="inlineStr"/>
      <c r="E119" s="2" t="inlineStr"/>
      <c r="F119" s="2" t="inlineStr"/>
      <c r="G119" s="2" t="inlineStr">
        <is>
          <t>landscape</t>
        </is>
      </c>
      <c r="H119" s="2" t="inlineStr">
        <is>
          <t>work_on_paper</t>
        </is>
      </c>
      <c r="I119" s="2" t="inlineStr">
        <is>
          <t>low</t>
        </is>
      </c>
      <c r="J119" s="2" t="inlineStr">
        <is>
          <t>angle</t>
        </is>
      </c>
      <c r="K119" s="2" t="inlineStr">
        <is>
          <t>yes</t>
        </is>
      </c>
      <c r="L119" s="2" t="inlineStr">
        <is>
          <t>cityscape behind glass</t>
        </is>
      </c>
    </row>
    <row r="120">
      <c r="A120" s="2" t="inlineStr">
        <is>
          <t>A115-1</t>
        </is>
      </c>
      <c r="B120" s="2" t="inlineStr">
        <is>
          <t>A115</t>
        </is>
      </c>
      <c r="C120" s="2" t="inlineStr">
        <is>
          <t>IMG_8738.JPG</t>
        </is>
      </c>
      <c r="D120" s="2" t="inlineStr"/>
      <c r="E120" s="2" t="inlineStr"/>
      <c r="F120" s="2" t="inlineStr"/>
      <c r="G120" s="2" t="inlineStr">
        <is>
          <t>landscape</t>
        </is>
      </c>
      <c r="H120" s="2" t="inlineStr">
        <is>
          <t>painting</t>
        </is>
      </c>
      <c r="I120" s="2" t="inlineStr">
        <is>
          <t>high</t>
        </is>
      </c>
      <c r="J120" s="2" t="inlineStr">
        <is>
          <t>ok</t>
        </is>
      </c>
      <c r="K120" s="2" t="inlineStr">
        <is>
          <t>yes</t>
        </is>
      </c>
      <c r="L120" s="2" t="inlineStr">
        <is>
          <t>savannah with herders</t>
        </is>
      </c>
    </row>
    <row r="121">
      <c r="A121" s="2" t="inlineStr">
        <is>
          <t>A116-1</t>
        </is>
      </c>
      <c r="B121" s="2" t="inlineStr">
        <is>
          <t>A116</t>
        </is>
      </c>
      <c r="C121" s="2" t="inlineStr">
        <is>
          <t>IMG_0910.JPG</t>
        </is>
      </c>
      <c r="D121" s="2" t="inlineStr"/>
      <c r="E121" s="2" t="inlineStr"/>
      <c r="F121" s="2" t="inlineStr"/>
      <c r="G121" s="2" t="inlineStr">
        <is>
          <t>other</t>
        </is>
      </c>
      <c r="H121" s="2" t="inlineStr">
        <is>
          <t>painting</t>
        </is>
      </c>
      <c r="I121" s="2" t="inlineStr">
        <is>
          <t>low</t>
        </is>
      </c>
      <c r="J121" s="2" t="inlineStr">
        <is>
          <t>ok</t>
        </is>
      </c>
      <c r="K121" s="2" t="inlineStr">
        <is>
          <t>no</t>
        </is>
      </c>
      <c r="L121" s="2" t="inlineStr">
        <is>
          <t>decorative zodiac mandala; class 'other' too small, not used</t>
        </is>
      </c>
    </row>
    <row r="122">
      <c r="A122" s="2" t="inlineStr">
        <is>
          <t>A117-1</t>
        </is>
      </c>
      <c r="B122" s="2" t="inlineStr">
        <is>
          <t>A117</t>
        </is>
      </c>
      <c r="C122" s="2" t="inlineStr">
        <is>
          <t>IMG_8739.JPG</t>
        </is>
      </c>
      <c r="D122" s="2" t="inlineStr"/>
      <c r="E122" s="2" t="inlineStr"/>
      <c r="F122" s="2" t="inlineStr"/>
      <c r="G122" s="2" t="inlineStr">
        <is>
          <t>figurative</t>
        </is>
      </c>
      <c r="H122" s="2" t="inlineStr">
        <is>
          <t>painting</t>
        </is>
      </c>
      <c r="I122" s="2" t="inlineStr">
        <is>
          <t>high</t>
        </is>
      </c>
      <c r="J122" s="2" t="inlineStr">
        <is>
          <t>ok</t>
        </is>
      </c>
      <c r="K122" s="2" t="inlineStr">
        <is>
          <t>yes</t>
        </is>
      </c>
      <c r="L122" s="2" t="inlineStr"/>
    </row>
    <row r="123">
      <c r="A123" s="2" t="inlineStr">
        <is>
          <t>A118-1</t>
        </is>
      </c>
      <c r="B123" s="2" t="inlineStr">
        <is>
          <t>A118</t>
        </is>
      </c>
      <c r="C123" s="2" t="inlineStr">
        <is>
          <t>IMG_8740.JPG</t>
        </is>
      </c>
      <c r="D123" s="2" t="inlineStr"/>
      <c r="E123" s="2" t="inlineStr"/>
      <c r="F123" s="2" t="inlineStr"/>
      <c r="G123" s="2" t="inlineStr">
        <is>
          <t>other</t>
        </is>
      </c>
      <c r="H123" s="2" t="inlineStr">
        <is>
          <t>painting</t>
        </is>
      </c>
      <c r="I123" s="2" t="inlineStr">
        <is>
          <t>low</t>
        </is>
      </c>
      <c r="J123" s="2" t="inlineStr">
        <is>
          <t>ok</t>
        </is>
      </c>
      <c r="K123" s="2" t="inlineStr">
        <is>
          <t>no</t>
        </is>
      </c>
      <c r="L123" s="2" t="inlineStr">
        <is>
          <t>interior with figures; class 'other' too small, not used</t>
        </is>
      </c>
    </row>
    <row r="124">
      <c r="A124" s="2" t="inlineStr">
        <is>
          <t>A119-1</t>
        </is>
      </c>
      <c r="B124" s="2" t="inlineStr">
        <is>
          <t>A119</t>
        </is>
      </c>
      <c r="C124" s="2" t="inlineStr">
        <is>
          <t>IMG_0911.JPG</t>
        </is>
      </c>
      <c r="D124" s="2" t="inlineStr"/>
      <c r="E124" s="2" t="inlineStr"/>
      <c r="F124" s="2" t="inlineStr"/>
      <c r="G124" s="2" t="inlineStr">
        <is>
          <t>landscape</t>
        </is>
      </c>
      <c r="H124" s="2" t="inlineStr">
        <is>
          <t>painting</t>
        </is>
      </c>
      <c r="I124" s="2" t="inlineStr">
        <is>
          <t>high</t>
        </is>
      </c>
      <c r="J124" s="2" t="inlineStr">
        <is>
          <t>ok</t>
        </is>
      </c>
      <c r="K124" s="2" t="inlineStr">
        <is>
          <t>yes</t>
        </is>
      </c>
      <c r="L124" s="2" t="inlineStr">
        <is>
          <t>old town street with people</t>
        </is>
      </c>
    </row>
    <row r="125">
      <c r="A125" s="2" t="inlineStr">
        <is>
          <t>A120-1</t>
        </is>
      </c>
      <c r="B125" s="2" t="inlineStr">
        <is>
          <t>A120</t>
        </is>
      </c>
      <c r="C125" s="2" t="inlineStr">
        <is>
          <t>IMG_8741.JPG</t>
        </is>
      </c>
      <c r="D125" s="2" t="inlineStr"/>
      <c r="E125" s="2" t="inlineStr"/>
      <c r="F125" s="2" t="inlineStr"/>
      <c r="G125" s="2" t="inlineStr">
        <is>
          <t>figurative</t>
        </is>
      </c>
      <c r="H125" s="2" t="inlineStr">
        <is>
          <t>painting</t>
        </is>
      </c>
      <c r="I125" s="2" t="inlineStr">
        <is>
          <t>high</t>
        </is>
      </c>
      <c r="J125" s="2" t="inlineStr">
        <is>
          <t>ok</t>
        </is>
      </c>
      <c r="K125" s="2" t="inlineStr">
        <is>
          <t>yes</t>
        </is>
      </c>
      <c r="L125" s="2" t="inlineStr">
        <is>
          <t>cubist figures</t>
        </is>
      </c>
    </row>
    <row r="126">
      <c r="A126" s="2" t="inlineStr">
        <is>
          <t>A116-2</t>
        </is>
      </c>
      <c r="B126" s="2" t="inlineStr">
        <is>
          <t>A116</t>
        </is>
      </c>
      <c r="C126" s="2" t="inlineStr">
        <is>
          <t>IMG_0912.JPG</t>
        </is>
      </c>
      <c r="D126" s="2" t="inlineStr"/>
      <c r="E126" s="2" t="inlineStr"/>
      <c r="F126" s="2" t="inlineStr"/>
      <c r="G126" s="2" t="inlineStr">
        <is>
          <t>other</t>
        </is>
      </c>
      <c r="H126" s="2" t="inlineStr">
        <is>
          <t>painting</t>
        </is>
      </c>
      <c r="I126" s="2" t="inlineStr">
        <is>
          <t>low</t>
        </is>
      </c>
      <c r="J126" s="2" t="inlineStr">
        <is>
          <t>ok</t>
        </is>
      </c>
      <c r="K126" s="2" t="inlineStr">
        <is>
          <t>no</t>
        </is>
      </c>
      <c r="L126" s="2" t="inlineStr">
        <is>
          <t>second photo of A116 (same artwork); class 'other' too small, not used</t>
        </is>
      </c>
    </row>
    <row r="127">
      <c r="A127" s="2" t="inlineStr">
        <is>
          <t>A121-1</t>
        </is>
      </c>
      <c r="B127" s="2" t="inlineStr">
        <is>
          <t>A121</t>
        </is>
      </c>
      <c r="C127" s="2" t="inlineStr">
        <is>
          <t>IMG_8742.JPG</t>
        </is>
      </c>
      <c r="D127" s="2" t="inlineStr"/>
      <c r="E127" s="2" t="inlineStr"/>
      <c r="F127" s="2" t="inlineStr"/>
      <c r="G127" s="2" t="inlineStr">
        <is>
          <t>landscape</t>
        </is>
      </c>
      <c r="H127" s="2" t="inlineStr">
        <is>
          <t>painting</t>
        </is>
      </c>
      <c r="I127" s="2" t="inlineStr">
        <is>
          <t>high</t>
        </is>
      </c>
      <c r="J127" s="2" t="inlineStr">
        <is>
          <t>ok</t>
        </is>
      </c>
      <c r="K127" s="2" t="inlineStr">
        <is>
          <t>yes</t>
        </is>
      </c>
      <c r="L127" s="2" t="inlineStr">
        <is>
          <t>park with trees</t>
        </is>
      </c>
    </row>
    <row r="128">
      <c r="A128" s="2" t="inlineStr">
        <is>
          <t>A122-1</t>
        </is>
      </c>
      <c r="B128" s="2" t="inlineStr">
        <is>
          <t>A122</t>
        </is>
      </c>
      <c r="C128" s="2" t="inlineStr">
        <is>
          <t>IMG_0913.JPG</t>
        </is>
      </c>
      <c r="D128" s="2" t="inlineStr"/>
      <c r="E128" s="2" t="inlineStr"/>
      <c r="F128" s="2" t="inlineStr"/>
      <c r="G128" s="2" t="inlineStr">
        <is>
          <t>landscape</t>
        </is>
      </c>
      <c r="H128" s="2" t="inlineStr">
        <is>
          <t>painting</t>
        </is>
      </c>
      <c r="I128" s="2" t="inlineStr">
        <is>
          <t>high</t>
        </is>
      </c>
      <c r="J128" s="2" t="inlineStr">
        <is>
          <t>ok</t>
        </is>
      </c>
      <c r="K128" s="2" t="inlineStr">
        <is>
          <t>yes</t>
        </is>
      </c>
      <c r="L128" s="2" t="inlineStr">
        <is>
          <t>temples at sunset</t>
        </is>
      </c>
    </row>
    <row r="129">
      <c r="A129" s="2" t="inlineStr">
        <is>
          <t>A123-1</t>
        </is>
      </c>
      <c r="B129" s="2" t="inlineStr">
        <is>
          <t>A123</t>
        </is>
      </c>
      <c r="C129" s="2" t="inlineStr">
        <is>
          <t>IMG_8743.JPG</t>
        </is>
      </c>
      <c r="D129" s="2" t="inlineStr"/>
      <c r="E129" s="2" t="inlineStr"/>
      <c r="F129" s="2" t="inlineStr"/>
      <c r="G129" s="2" t="inlineStr">
        <is>
          <t>figurative</t>
        </is>
      </c>
      <c r="H129" s="2" t="inlineStr">
        <is>
          <t>painting</t>
        </is>
      </c>
      <c r="I129" s="2" t="inlineStr">
        <is>
          <t>high</t>
        </is>
      </c>
      <c r="J129" s="2" t="inlineStr">
        <is>
          <t>ok</t>
        </is>
      </c>
      <c r="K129" s="2" t="inlineStr">
        <is>
          <t>yes</t>
        </is>
      </c>
      <c r="L129" s="2" t="inlineStr"/>
    </row>
    <row r="130">
      <c r="A130" s="2" t="inlineStr">
        <is>
          <t>A124-1</t>
        </is>
      </c>
      <c r="B130" s="2" t="inlineStr">
        <is>
          <t>A124</t>
        </is>
      </c>
      <c r="C130" s="2" t="inlineStr">
        <is>
          <t>IMG_8744.JPG</t>
        </is>
      </c>
      <c r="D130" s="2" t="inlineStr"/>
      <c r="E130" s="2" t="inlineStr"/>
      <c r="F130" s="2" t="inlineStr"/>
      <c r="G130" s="2" t="inlineStr">
        <is>
          <t>abstract</t>
        </is>
      </c>
      <c r="H130" s="2" t="inlineStr">
        <is>
          <t>painting</t>
        </is>
      </c>
      <c r="I130" s="2" t="inlineStr">
        <is>
          <t>low</t>
        </is>
      </c>
      <c r="J130" s="2" t="inlineStr">
        <is>
          <t>ok</t>
        </is>
      </c>
      <c r="K130" s="2" t="inlineStr">
        <is>
          <t>yes</t>
        </is>
      </c>
      <c r="L130" s="2" t="inlineStr">
        <is>
          <t>may be an abstracted village</t>
        </is>
      </c>
    </row>
    <row r="131">
      <c r="A131" s="2" t="inlineStr">
        <is>
          <t>A121-2</t>
        </is>
      </c>
      <c r="B131" s="2" t="inlineStr">
        <is>
          <t>A121</t>
        </is>
      </c>
      <c r="C131" s="2" t="inlineStr">
        <is>
          <t>IMG_0914.JPG</t>
        </is>
      </c>
      <c r="D131" s="2" t="inlineStr"/>
      <c r="E131" s="2" t="inlineStr"/>
      <c r="F131" s="2" t="inlineStr"/>
      <c r="G131" s="2" t="inlineStr">
        <is>
          <t>landscape</t>
        </is>
      </c>
      <c r="H131" s="2" t="inlineStr">
        <is>
          <t>painting</t>
        </is>
      </c>
      <c r="I131" s="2" t="inlineStr">
        <is>
          <t>high</t>
        </is>
      </c>
      <c r="J131" s="2" t="inlineStr">
        <is>
          <t>ok</t>
        </is>
      </c>
      <c r="K131" s="2" t="inlineStr">
        <is>
          <t>yes</t>
        </is>
      </c>
      <c r="L131" s="2" t="inlineStr">
        <is>
          <t>second photo of A121 (same artwork)</t>
        </is>
      </c>
    </row>
    <row r="132">
      <c r="A132" s="2" t="inlineStr">
        <is>
          <t>A125-1</t>
        </is>
      </c>
      <c r="B132" s="2" t="inlineStr">
        <is>
          <t>A125</t>
        </is>
      </c>
      <c r="C132" s="2" t="inlineStr">
        <is>
          <t>IMG_0915.JPG</t>
        </is>
      </c>
      <c r="D132" s="2" t="inlineStr"/>
      <c r="E132" s="2" t="inlineStr"/>
      <c r="F132" s="2" t="inlineStr"/>
      <c r="G132" s="2" t="inlineStr">
        <is>
          <t>landscape</t>
        </is>
      </c>
      <c r="H132" s="2" t="inlineStr">
        <is>
          <t>painting</t>
        </is>
      </c>
      <c r="I132" s="2" t="inlineStr">
        <is>
          <t>high</t>
        </is>
      </c>
      <c r="J132" s="2" t="inlineStr">
        <is>
          <t>ok</t>
        </is>
      </c>
      <c r="K132" s="2" t="inlineStr">
        <is>
          <t>yes</t>
        </is>
      </c>
      <c r="L132" s="2" t="inlineStr">
        <is>
          <t>temple plain, black and white</t>
        </is>
      </c>
    </row>
    <row r="133">
      <c r="A133" s="2" t="inlineStr">
        <is>
          <t>A126-1</t>
        </is>
      </c>
      <c r="B133" s="2" t="inlineStr">
        <is>
          <t>A126</t>
        </is>
      </c>
      <c r="C133" s="2" t="inlineStr">
        <is>
          <t>IMG_0916.JPG</t>
        </is>
      </c>
      <c r="D133" s="2" t="inlineStr"/>
      <c r="E133" s="2" t="inlineStr"/>
      <c r="F133" s="2" t="inlineStr"/>
      <c r="G133" s="2" t="inlineStr">
        <is>
          <t>landscape</t>
        </is>
      </c>
      <c r="H133" s="2" t="inlineStr">
        <is>
          <t>painting</t>
        </is>
      </c>
      <c r="I133" s="2" t="inlineStr">
        <is>
          <t>high</t>
        </is>
      </c>
      <c r="J133" s="2" t="inlineStr">
        <is>
          <t>ok</t>
        </is>
      </c>
      <c r="K133" s="2" t="inlineStr">
        <is>
          <t>yes</t>
        </is>
      </c>
      <c r="L133" s="2" t="inlineStr">
        <is>
          <t>village, black and white</t>
        </is>
      </c>
    </row>
    <row r="134">
      <c r="A134" s="2" t="inlineStr">
        <is>
          <t>A127-1</t>
        </is>
      </c>
      <c r="B134" s="2" t="inlineStr">
        <is>
          <t>A127</t>
        </is>
      </c>
      <c r="C134" s="2" t="inlineStr">
        <is>
          <t>IMG_0917.JPG</t>
        </is>
      </c>
      <c r="D134" s="2" t="inlineStr"/>
      <c r="E134" s="2" t="inlineStr"/>
      <c r="F134" s="2" t="inlineStr"/>
      <c r="G134" s="2" t="inlineStr">
        <is>
          <t>figurative</t>
        </is>
      </c>
      <c r="H134" s="2" t="inlineStr">
        <is>
          <t>painting</t>
        </is>
      </c>
      <c r="I134" s="2" t="inlineStr">
        <is>
          <t>high</t>
        </is>
      </c>
      <c r="J134" s="2" t="inlineStr">
        <is>
          <t>ok</t>
        </is>
      </c>
      <c r="K134" s="2" t="inlineStr">
        <is>
          <t>yes</t>
        </is>
      </c>
      <c r="L134" s="2" t="inlineStr">
        <is>
          <t>woman carrying basket</t>
        </is>
      </c>
    </row>
    <row r="135">
      <c r="A135" s="2" t="inlineStr">
        <is>
          <t>A128-1</t>
        </is>
      </c>
      <c r="B135" s="2" t="inlineStr">
        <is>
          <t>A128</t>
        </is>
      </c>
      <c r="C135" s="2" t="inlineStr">
        <is>
          <t>IMG_0918.JPG</t>
        </is>
      </c>
      <c r="D135" s="2" t="inlineStr"/>
      <c r="E135" s="2" t="inlineStr"/>
      <c r="F135" s="2" t="inlineStr"/>
      <c r="G135" s="2" t="inlineStr">
        <is>
          <t>figurative</t>
        </is>
      </c>
      <c r="H135" s="2" t="inlineStr">
        <is>
          <t>painting</t>
        </is>
      </c>
      <c r="I135" s="2" t="inlineStr">
        <is>
          <t>high</t>
        </is>
      </c>
      <c r="J135" s="2" t="inlineStr">
        <is>
          <t>ok</t>
        </is>
      </c>
      <c r="K135" s="2" t="inlineStr">
        <is>
          <t>yes</t>
        </is>
      </c>
      <c r="L135" s="2" t="inlineStr">
        <is>
          <t>surreal figure</t>
        </is>
      </c>
    </row>
    <row r="136">
      <c r="A136" s="2" t="inlineStr">
        <is>
          <t>A129-1</t>
        </is>
      </c>
      <c r="B136" s="2" t="inlineStr">
        <is>
          <t>A129</t>
        </is>
      </c>
      <c r="C136" s="2" t="inlineStr">
        <is>
          <t>IMG_0919.JPG</t>
        </is>
      </c>
      <c r="D136" s="2" t="inlineStr"/>
      <c r="E136" s="2" t="inlineStr"/>
      <c r="F136" s="2" t="inlineStr"/>
      <c r="G136" s="2" t="inlineStr">
        <is>
          <t>figurative</t>
        </is>
      </c>
      <c r="H136" s="2" t="inlineStr">
        <is>
          <t>painting</t>
        </is>
      </c>
      <c r="I136" s="2" t="inlineStr">
        <is>
          <t>high</t>
        </is>
      </c>
      <c r="J136" s="2" t="inlineStr">
        <is>
          <t>ok</t>
        </is>
      </c>
      <c r="K136" s="2" t="inlineStr">
        <is>
          <t>yes</t>
        </is>
      </c>
      <c r="L136" s="2" t="inlineStr">
        <is>
          <t>nude among flowers</t>
        </is>
      </c>
    </row>
    <row r="137">
      <c r="A137" s="2" t="inlineStr">
        <is>
          <t>A130-1</t>
        </is>
      </c>
      <c r="B137" s="2" t="inlineStr">
        <is>
          <t>A130</t>
        </is>
      </c>
      <c r="C137" s="2" t="inlineStr">
        <is>
          <t>IMG_0920.JPG</t>
        </is>
      </c>
      <c r="D137" s="2" t="inlineStr"/>
      <c r="E137" s="2" t="inlineStr"/>
      <c r="F137" s="2" t="inlineStr"/>
      <c r="G137" s="2" t="inlineStr">
        <is>
          <t>landscape</t>
        </is>
      </c>
      <c r="H137" s="2" t="inlineStr">
        <is>
          <t>work_on_paper</t>
        </is>
      </c>
      <c r="I137" s="2" t="inlineStr">
        <is>
          <t>low</t>
        </is>
      </c>
      <c r="J137" s="2" t="inlineStr">
        <is>
          <t>glare</t>
        </is>
      </c>
      <c r="K137" s="2" t="inlineStr">
        <is>
          <t>yes</t>
        </is>
      </c>
      <c r="L137" s="2" t="inlineStr">
        <is>
          <t>expressive flower field; landscape vs abstract</t>
        </is>
      </c>
    </row>
    <row r="138">
      <c r="A138" s="2" t="inlineStr">
        <is>
          <t>A131-1</t>
        </is>
      </c>
      <c r="B138" s="2" t="inlineStr">
        <is>
          <t>A131</t>
        </is>
      </c>
      <c r="C138" s="2" t="inlineStr">
        <is>
          <t>IMG_0922.JPG</t>
        </is>
      </c>
      <c r="D138" s="2" t="inlineStr"/>
      <c r="E138" s="2" t="inlineStr"/>
      <c r="F138" s="2" t="inlineStr"/>
      <c r="G138" s="2" t="inlineStr">
        <is>
          <t>figurative</t>
        </is>
      </c>
      <c r="H138" s="2" t="inlineStr">
        <is>
          <t>painting</t>
        </is>
      </c>
      <c r="I138" s="2" t="inlineStr">
        <is>
          <t>low</t>
        </is>
      </c>
      <c r="J138" s="2" t="inlineStr">
        <is>
          <t>ok</t>
        </is>
      </c>
      <c r="K138" s="2" t="inlineStr">
        <is>
          <t>yes</t>
        </is>
      </c>
      <c r="L138" s="2" t="inlineStr">
        <is>
          <t>stylised woman</t>
        </is>
      </c>
    </row>
    <row r="139">
      <c r="A139" s="2" t="inlineStr">
        <is>
          <t>A132-1</t>
        </is>
      </c>
      <c r="B139" s="2" t="inlineStr">
        <is>
          <t>A132</t>
        </is>
      </c>
      <c r="C139" s="2" t="inlineStr">
        <is>
          <t>Vakho Bugadze, Untitled, 2024.JPG</t>
        </is>
      </c>
      <c r="D139" s="2" t="inlineStr">
        <is>
          <t>Vakho Bugadze</t>
        </is>
      </c>
      <c r="E139" s="2" t="inlineStr">
        <is>
          <t>Untitled</t>
        </is>
      </c>
      <c r="F139" s="2" t="n">
        <v>2024</v>
      </c>
      <c r="G139" s="2" t="inlineStr">
        <is>
          <t>abstract</t>
        </is>
      </c>
      <c r="H139" s="2" t="inlineStr">
        <is>
          <t>painting</t>
        </is>
      </c>
      <c r="I139" s="2" t="inlineStr">
        <is>
          <t>low</t>
        </is>
      </c>
      <c r="J139" s="2" t="inlineStr">
        <is>
          <t>ok</t>
        </is>
      </c>
      <c r="K139" s="2" t="inlineStr">
        <is>
          <t>yes</t>
        </is>
      </c>
      <c r="L139" s="2" t="inlineStr">
        <is>
          <t>semi-abstract cityscape</t>
        </is>
      </c>
    </row>
    <row r="140">
      <c r="A140" s="2" t="inlineStr">
        <is>
          <t>A133-1</t>
        </is>
      </c>
      <c r="B140" s="2" t="inlineStr">
        <is>
          <t>A133</t>
        </is>
      </c>
      <c r="C140" s="2" t="inlineStr">
        <is>
          <t>Mikheil (Soso) Chogovadze, Untitled.JPG</t>
        </is>
      </c>
      <c r="D140" s="2" t="inlineStr">
        <is>
          <t>Mikheil (Soso) Chogovadze</t>
        </is>
      </c>
      <c r="E140" s="2" t="inlineStr">
        <is>
          <t>Untitled</t>
        </is>
      </c>
      <c r="F140" s="2" t="inlineStr"/>
      <c r="G140" s="2" t="inlineStr">
        <is>
          <t>landscape</t>
        </is>
      </c>
      <c r="H140" s="2" t="inlineStr">
        <is>
          <t>painting</t>
        </is>
      </c>
      <c r="I140" s="2" t="inlineStr">
        <is>
          <t>high</t>
        </is>
      </c>
      <c r="J140" s="2" t="inlineStr">
        <is>
          <t>ok</t>
        </is>
      </c>
      <c r="K140" s="2" t="inlineStr">
        <is>
          <t>yes</t>
        </is>
      </c>
      <c r="L140" s="2" t="inlineStr">
        <is>
          <t>bridge cityscape</t>
        </is>
      </c>
    </row>
    <row r="141">
      <c r="A141" s="2" t="inlineStr">
        <is>
          <t>A134-1</t>
        </is>
      </c>
      <c r="B141" s="2" t="inlineStr">
        <is>
          <t>A134</t>
        </is>
      </c>
      <c r="C141" s="2" t="inlineStr">
        <is>
          <t>Grigol Gvania, Untitled, 2025.JPG</t>
        </is>
      </c>
      <c r="D141" s="2" t="inlineStr">
        <is>
          <t>Grigol Gvania</t>
        </is>
      </c>
      <c r="E141" s="2" t="inlineStr">
        <is>
          <t>Untitled</t>
        </is>
      </c>
      <c r="F141" s="2" t="n">
        <v>2025</v>
      </c>
      <c r="G141" s="2" t="inlineStr">
        <is>
          <t>landscape</t>
        </is>
      </c>
      <c r="H141" s="2" t="inlineStr">
        <is>
          <t>painting</t>
        </is>
      </c>
      <c r="I141" s="2" t="inlineStr">
        <is>
          <t>high</t>
        </is>
      </c>
      <c r="J141" s="2" t="inlineStr">
        <is>
          <t>ok</t>
        </is>
      </c>
      <c r="K141" s="2" t="inlineStr">
        <is>
          <t>yes</t>
        </is>
      </c>
      <c r="L141" s="2" t="inlineStr">
        <is>
          <t>street cafe</t>
        </is>
      </c>
    </row>
    <row r="142">
      <c r="A142" s="2" t="inlineStr">
        <is>
          <t>A135-1</t>
        </is>
      </c>
      <c r="B142" s="2" t="inlineStr">
        <is>
          <t>A135</t>
        </is>
      </c>
      <c r="C142" s="2" t="inlineStr">
        <is>
          <t>Oleg Timchenko, Untitled, 2024.JPG</t>
        </is>
      </c>
      <c r="D142" s="2" t="inlineStr">
        <is>
          <t>Oleg Timchenko</t>
        </is>
      </c>
      <c r="E142" s="2" t="inlineStr">
        <is>
          <t>Untitled</t>
        </is>
      </c>
      <c r="F142" s="2" t="n">
        <v>2024</v>
      </c>
      <c r="G142" s="2" t="inlineStr">
        <is>
          <t>figurative</t>
        </is>
      </c>
      <c r="H142" s="2" t="inlineStr">
        <is>
          <t>painting</t>
        </is>
      </c>
      <c r="I142" s="2" t="inlineStr">
        <is>
          <t>high</t>
        </is>
      </c>
      <c r="J142" s="2" t="inlineStr">
        <is>
          <t>ok</t>
        </is>
      </c>
      <c r="K142" s="2" t="inlineStr">
        <is>
          <t>yes</t>
        </is>
      </c>
      <c r="L142" s="2" t="inlineStr">
        <is>
          <t>two figures at a table</t>
        </is>
      </c>
    </row>
    <row r="143">
      <c r="A143" s="2" t="inlineStr">
        <is>
          <t>A136-1</t>
        </is>
      </c>
      <c r="B143" s="2" t="inlineStr">
        <is>
          <t>A136</t>
        </is>
      </c>
      <c r="C143" s="2" t="inlineStr">
        <is>
          <t>Vakho Bugadze, Untitled, 2025.JPG</t>
        </is>
      </c>
      <c r="D143" s="2" t="inlineStr">
        <is>
          <t>Vakho Bugadze</t>
        </is>
      </c>
      <c r="E143" s="2" t="inlineStr">
        <is>
          <t>Untitled</t>
        </is>
      </c>
      <c r="F143" s="2" t="n">
        <v>2025</v>
      </c>
      <c r="G143" s="2" t="inlineStr">
        <is>
          <t>abstract</t>
        </is>
      </c>
      <c r="H143" s="2" t="inlineStr">
        <is>
          <t>painting</t>
        </is>
      </c>
      <c r="I143" s="2" t="inlineStr">
        <is>
          <t>low</t>
        </is>
      </c>
      <c r="J143" s="2" t="inlineStr">
        <is>
          <t>ok</t>
        </is>
      </c>
      <c r="K143" s="2" t="inlineStr">
        <is>
          <t>yes</t>
        </is>
      </c>
      <c r="L143" s="2" t="inlineStr">
        <is>
          <t>expressive, possibly interior</t>
        </is>
      </c>
    </row>
    <row r="144">
      <c r="A144" s="2" t="inlineStr">
        <is>
          <t>A137-1</t>
        </is>
      </c>
      <c r="B144" s="2" t="inlineStr">
        <is>
          <t>A137</t>
        </is>
      </c>
      <c r="C144" s="2" t="inlineStr">
        <is>
          <t>Nika Khabelashvili, „Dresden", 2022.JPG</t>
        </is>
      </c>
      <c r="D144" s="2" t="inlineStr">
        <is>
          <t>Nika Khabelashvili</t>
        </is>
      </c>
      <c r="E144" s="2" t="inlineStr">
        <is>
          <t>Dresden</t>
        </is>
      </c>
      <c r="F144" s="2" t="n">
        <v>2022</v>
      </c>
      <c r="G144" s="2" t="inlineStr">
        <is>
          <t>landscape</t>
        </is>
      </c>
      <c r="H144" s="2" t="inlineStr">
        <is>
          <t>painting</t>
        </is>
      </c>
      <c r="I144" s="2" t="inlineStr">
        <is>
          <t>high</t>
        </is>
      </c>
      <c r="J144" s="2" t="inlineStr">
        <is>
          <t>ok</t>
        </is>
      </c>
      <c r="K144" s="2" t="inlineStr">
        <is>
          <t>yes</t>
        </is>
      </c>
      <c r="L144" s="2" t="inlineStr">
        <is>
          <t>building</t>
        </is>
      </c>
    </row>
    <row r="145">
      <c r="A145" s="2" t="inlineStr">
        <is>
          <t>A138-1</t>
        </is>
      </c>
      <c r="B145" s="2" t="inlineStr">
        <is>
          <t>A138</t>
        </is>
      </c>
      <c r="C145" s="2" t="inlineStr">
        <is>
          <t>IMG_0935.JPG</t>
        </is>
      </c>
      <c r="D145" s="2" t="inlineStr"/>
      <c r="E145" s="2" t="inlineStr"/>
      <c r="F145" s="2" t="inlineStr"/>
      <c r="G145" s="2" t="inlineStr">
        <is>
          <t>abstract</t>
        </is>
      </c>
      <c r="H145" s="2" t="inlineStr">
        <is>
          <t>painting</t>
        </is>
      </c>
      <c r="I145" s="2" t="inlineStr">
        <is>
          <t>high</t>
        </is>
      </c>
      <c r="J145" s="2" t="inlineStr">
        <is>
          <t>ok</t>
        </is>
      </c>
      <c r="K145" s="2" t="inlineStr">
        <is>
          <t>yes</t>
        </is>
      </c>
      <c r="L145" s="2" t="inlineStr">
        <is>
          <t>series 144-154, same artist</t>
        </is>
      </c>
    </row>
    <row r="146">
      <c r="A146" s="2" t="inlineStr">
        <is>
          <t>A139-1</t>
        </is>
      </c>
      <c r="B146" s="2" t="inlineStr">
        <is>
          <t>A139</t>
        </is>
      </c>
      <c r="C146" s="2" t="inlineStr">
        <is>
          <t>IMG_0936.JPG</t>
        </is>
      </c>
      <c r="D146" s="2" t="inlineStr"/>
      <c r="E146" s="2" t="inlineStr"/>
      <c r="F146" s="2" t="inlineStr"/>
      <c r="G146" s="2" t="inlineStr">
        <is>
          <t>abstract</t>
        </is>
      </c>
      <c r="H146" s="2" t="inlineStr">
        <is>
          <t>painting</t>
        </is>
      </c>
      <c r="I146" s="2" t="inlineStr">
        <is>
          <t>high</t>
        </is>
      </c>
      <c r="J146" s="2" t="inlineStr">
        <is>
          <t>ok</t>
        </is>
      </c>
      <c r="K146" s="2" t="inlineStr">
        <is>
          <t>yes</t>
        </is>
      </c>
      <c r="L146" s="2" t="inlineStr"/>
    </row>
    <row r="147">
      <c r="A147" s="2" t="inlineStr">
        <is>
          <t>A140-1</t>
        </is>
      </c>
      <c r="B147" s="2" t="inlineStr">
        <is>
          <t>A140</t>
        </is>
      </c>
      <c r="C147" s="2" t="inlineStr">
        <is>
          <t>IMG_0937.JPG</t>
        </is>
      </c>
      <c r="D147" s="2" t="inlineStr"/>
      <c r="E147" s="2" t="inlineStr"/>
      <c r="F147" s="2" t="inlineStr"/>
      <c r="G147" s="2" t="inlineStr">
        <is>
          <t>abstract</t>
        </is>
      </c>
      <c r="H147" s="2" t="inlineStr">
        <is>
          <t>painting</t>
        </is>
      </c>
      <c r="I147" s="2" t="inlineStr">
        <is>
          <t>high</t>
        </is>
      </c>
      <c r="J147" s="2" t="inlineStr">
        <is>
          <t>ok</t>
        </is>
      </c>
      <c r="K147" s="2" t="inlineStr">
        <is>
          <t>yes</t>
        </is>
      </c>
      <c r="L147" s="2" t="inlineStr"/>
    </row>
    <row r="148">
      <c r="A148" s="2" t="inlineStr">
        <is>
          <t>A141-1</t>
        </is>
      </c>
      <c r="B148" s="2" t="inlineStr">
        <is>
          <t>A141</t>
        </is>
      </c>
      <c r="C148" s="2" t="inlineStr">
        <is>
          <t>IMG_0938.JPG</t>
        </is>
      </c>
      <c r="D148" s="2" t="inlineStr"/>
      <c r="E148" s="2" t="inlineStr"/>
      <c r="F148" s="2" t="inlineStr"/>
      <c r="G148" s="2" t="inlineStr">
        <is>
          <t>abstract</t>
        </is>
      </c>
      <c r="H148" s="2" t="inlineStr">
        <is>
          <t>painting</t>
        </is>
      </c>
      <c r="I148" s="2" t="inlineStr">
        <is>
          <t>high</t>
        </is>
      </c>
      <c r="J148" s="2" t="inlineStr">
        <is>
          <t>ok</t>
        </is>
      </c>
      <c r="K148" s="2" t="inlineStr">
        <is>
          <t>yes</t>
        </is>
      </c>
      <c r="L148" s="2" t="inlineStr"/>
    </row>
    <row r="149">
      <c r="A149" s="2" t="inlineStr">
        <is>
          <t>A142-1</t>
        </is>
      </c>
      <c r="B149" s="2" t="inlineStr">
        <is>
          <t>A142</t>
        </is>
      </c>
      <c r="C149" s="2" t="inlineStr">
        <is>
          <t>IMG_0939.JPG</t>
        </is>
      </c>
      <c r="D149" s="2" t="inlineStr"/>
      <c r="E149" s="2" t="inlineStr"/>
      <c r="F149" s="2" t="inlineStr"/>
      <c r="G149" s="2" t="inlineStr">
        <is>
          <t>abstract</t>
        </is>
      </c>
      <c r="H149" s="2" t="inlineStr">
        <is>
          <t>painting</t>
        </is>
      </c>
      <c r="I149" s="2" t="inlineStr">
        <is>
          <t>high</t>
        </is>
      </c>
      <c r="J149" s="2" t="inlineStr">
        <is>
          <t>ok</t>
        </is>
      </c>
      <c r="K149" s="2" t="inlineStr">
        <is>
          <t>yes</t>
        </is>
      </c>
      <c r="L149" s="2" t="inlineStr"/>
    </row>
    <row r="150">
      <c r="A150" s="2" t="inlineStr">
        <is>
          <t>A143-1</t>
        </is>
      </c>
      <c r="B150" s="2" t="inlineStr">
        <is>
          <t>A143</t>
        </is>
      </c>
      <c r="C150" s="2" t="inlineStr">
        <is>
          <t>IMG_0940.JPG</t>
        </is>
      </c>
      <c r="D150" s="2" t="inlineStr"/>
      <c r="E150" s="2" t="inlineStr"/>
      <c r="F150" s="2" t="inlineStr"/>
      <c r="G150" s="2" t="inlineStr">
        <is>
          <t>abstract</t>
        </is>
      </c>
      <c r="H150" s="2" t="inlineStr">
        <is>
          <t>painting</t>
        </is>
      </c>
      <c r="I150" s="2" t="inlineStr">
        <is>
          <t>high</t>
        </is>
      </c>
      <c r="J150" s="2" t="inlineStr">
        <is>
          <t>ok</t>
        </is>
      </c>
      <c r="K150" s="2" t="inlineStr">
        <is>
          <t>yes</t>
        </is>
      </c>
      <c r="L150" s="2" t="inlineStr"/>
    </row>
    <row r="151">
      <c r="A151" s="2" t="inlineStr">
        <is>
          <t>A144-1</t>
        </is>
      </c>
      <c r="B151" s="2" t="inlineStr">
        <is>
          <t>A144</t>
        </is>
      </c>
      <c r="C151" s="2" t="inlineStr">
        <is>
          <t>IMG_0941.JPG</t>
        </is>
      </c>
      <c r="D151" s="2" t="inlineStr"/>
      <c r="E151" s="2" t="inlineStr"/>
      <c r="F151" s="2" t="inlineStr"/>
      <c r="G151" s="2" t="inlineStr">
        <is>
          <t>abstract</t>
        </is>
      </c>
      <c r="H151" s="2" t="inlineStr">
        <is>
          <t>painting</t>
        </is>
      </c>
      <c r="I151" s="2" t="inlineStr">
        <is>
          <t>low</t>
        </is>
      </c>
      <c r="J151" s="2" t="inlineStr">
        <is>
          <t>ok</t>
        </is>
      </c>
      <c r="K151" s="2" t="inlineStr">
        <is>
          <t>yes</t>
        </is>
      </c>
      <c r="L151" s="2" t="inlineStr">
        <is>
          <t>floating blossoms; abstract vs still life</t>
        </is>
      </c>
    </row>
    <row r="152">
      <c r="A152" s="2" t="inlineStr">
        <is>
          <t>A145-1</t>
        </is>
      </c>
      <c r="B152" s="2" t="inlineStr">
        <is>
          <t>A145</t>
        </is>
      </c>
      <c r="C152" s="2" t="inlineStr">
        <is>
          <t>IMG_0942.JPG</t>
        </is>
      </c>
      <c r="D152" s="2" t="inlineStr"/>
      <c r="E152" s="2" t="inlineStr"/>
      <c r="F152" s="2" t="inlineStr"/>
      <c r="G152" s="2" t="inlineStr">
        <is>
          <t>abstract</t>
        </is>
      </c>
      <c r="H152" s="2" t="inlineStr">
        <is>
          <t>painting</t>
        </is>
      </c>
      <c r="I152" s="2" t="inlineStr">
        <is>
          <t>high</t>
        </is>
      </c>
      <c r="J152" s="2" t="inlineStr">
        <is>
          <t>ok</t>
        </is>
      </c>
      <c r="K152" s="2" t="inlineStr">
        <is>
          <t>yes</t>
        </is>
      </c>
      <c r="L152" s="2" t="inlineStr"/>
    </row>
    <row r="153">
      <c r="A153" s="2" t="inlineStr">
        <is>
          <t>A146-1</t>
        </is>
      </c>
      <c r="B153" s="2" t="inlineStr">
        <is>
          <t>A146</t>
        </is>
      </c>
      <c r="C153" s="2" t="inlineStr">
        <is>
          <t>IMG_0943.JPG</t>
        </is>
      </c>
      <c r="D153" s="2" t="inlineStr"/>
      <c r="E153" s="2" t="inlineStr"/>
      <c r="F153" s="2" t="inlineStr"/>
      <c r="G153" s="2" t="inlineStr">
        <is>
          <t>abstract</t>
        </is>
      </c>
      <c r="H153" s="2" t="inlineStr">
        <is>
          <t>painting</t>
        </is>
      </c>
      <c r="I153" s="2" t="inlineStr">
        <is>
          <t>low</t>
        </is>
      </c>
      <c r="J153" s="2" t="inlineStr">
        <is>
          <t>ok</t>
        </is>
      </c>
      <c r="K153" s="2" t="inlineStr">
        <is>
          <t>yes</t>
        </is>
      </c>
      <c r="L153" s="2" t="inlineStr">
        <is>
          <t>plant motif</t>
        </is>
      </c>
    </row>
    <row r="154">
      <c r="A154" s="2" t="inlineStr">
        <is>
          <t>A147-1</t>
        </is>
      </c>
      <c r="B154" s="2" t="inlineStr">
        <is>
          <t>A147</t>
        </is>
      </c>
      <c r="C154" s="2" t="inlineStr">
        <is>
          <t>IMG_0944.JPG</t>
        </is>
      </c>
      <c r="D154" s="2" t="inlineStr"/>
      <c r="E154" s="2" t="inlineStr"/>
      <c r="F154" s="2" t="inlineStr"/>
      <c r="G154" s="2" t="inlineStr">
        <is>
          <t>abstract</t>
        </is>
      </c>
      <c r="H154" s="2" t="inlineStr">
        <is>
          <t>painting</t>
        </is>
      </c>
      <c r="I154" s="2" t="inlineStr">
        <is>
          <t>low</t>
        </is>
      </c>
      <c r="J154" s="2" t="inlineStr">
        <is>
          <t>ok</t>
        </is>
      </c>
      <c r="K154" s="2" t="inlineStr">
        <is>
          <t>yes</t>
        </is>
      </c>
      <c r="L154" s="2" t="inlineStr">
        <is>
          <t>branch motif</t>
        </is>
      </c>
    </row>
    <row r="155">
      <c r="A155" s="2" t="inlineStr">
        <is>
          <t>A148-1</t>
        </is>
      </c>
      <c r="B155" s="2" t="inlineStr">
        <is>
          <t>A148</t>
        </is>
      </c>
      <c r="C155" s="2" t="inlineStr">
        <is>
          <t>IMG_0945.JPG</t>
        </is>
      </c>
      <c r="D155" s="2" t="inlineStr"/>
      <c r="E155" s="2" t="inlineStr"/>
      <c r="F155" s="2" t="inlineStr"/>
      <c r="G155" s="2" t="inlineStr">
        <is>
          <t>abstract</t>
        </is>
      </c>
      <c r="H155" s="2" t="inlineStr">
        <is>
          <t>painting</t>
        </is>
      </c>
      <c r="I155" s="2" t="inlineStr">
        <is>
          <t>high</t>
        </is>
      </c>
      <c r="J155" s="2" t="inlineStr">
        <is>
          <t>ok</t>
        </is>
      </c>
      <c r="K155" s="2" t="inlineStr">
        <is>
          <t>yes</t>
        </is>
      </c>
      <c r="L155" s="2" t="inlineStr"/>
    </row>
    <row r="156">
      <c r="A156" s="2" t="inlineStr">
        <is>
          <t>A149-1</t>
        </is>
      </c>
      <c r="B156" s="2" t="inlineStr">
        <is>
          <t>A149</t>
        </is>
      </c>
      <c r="C156" s="2" t="inlineStr">
        <is>
          <t>IMG_0946.JPG</t>
        </is>
      </c>
      <c r="D156" s="2" t="inlineStr"/>
      <c r="E156" s="2" t="inlineStr"/>
      <c r="F156" s="2" t="inlineStr"/>
      <c r="G156" s="2" t="inlineStr">
        <is>
          <t>figurative</t>
        </is>
      </c>
      <c r="H156" s="2" t="inlineStr">
        <is>
          <t>painting</t>
        </is>
      </c>
      <c r="I156" s="2" t="inlineStr">
        <is>
          <t>low</t>
        </is>
      </c>
      <c r="J156" s="2" t="inlineStr">
        <is>
          <t>angle</t>
        </is>
      </c>
      <c r="K156" s="2" t="inlineStr">
        <is>
          <t>yes</t>
        </is>
      </c>
      <c r="L156" s="2" t="inlineStr">
        <is>
          <t>birds on branches</t>
        </is>
      </c>
    </row>
    <row r="157">
      <c r="A157" s="2" t="inlineStr">
        <is>
          <t>A150-1</t>
        </is>
      </c>
      <c r="B157" s="2" t="inlineStr">
        <is>
          <t>A150</t>
        </is>
      </c>
      <c r="C157" s="2" t="inlineStr">
        <is>
          <t>IMG_0948.JPG</t>
        </is>
      </c>
      <c r="D157" s="2" t="inlineStr"/>
      <c r="E157" s="2" t="inlineStr"/>
      <c r="F157" s="2" t="inlineStr"/>
      <c r="G157" s="2" t="inlineStr">
        <is>
          <t>portrait</t>
        </is>
      </c>
      <c r="H157" s="2" t="inlineStr">
        <is>
          <t>work_on_paper</t>
        </is>
      </c>
      <c r="I157" s="2" t="inlineStr">
        <is>
          <t>high</t>
        </is>
      </c>
      <c r="J157" s="2" t="inlineStr">
        <is>
          <t>glare</t>
        </is>
      </c>
      <c r="K157" s="2" t="inlineStr">
        <is>
          <t>yes</t>
        </is>
      </c>
      <c r="L157" s="2" t="inlineStr">
        <is>
          <t>etching; Georgian nameplate (sitter)</t>
        </is>
      </c>
    </row>
    <row r="158">
      <c r="A158" s="2" t="inlineStr">
        <is>
          <t>A151-1</t>
        </is>
      </c>
      <c r="B158" s="2" t="inlineStr">
        <is>
          <t>A151</t>
        </is>
      </c>
      <c r="C158" s="2" t="inlineStr">
        <is>
          <t>IMG_0949.JPG</t>
        </is>
      </c>
      <c r="D158" s="2" t="inlineStr"/>
      <c r="E158" s="2" t="inlineStr"/>
      <c r="F158" s="2" t="inlineStr"/>
      <c r="G158" s="2" t="inlineStr">
        <is>
          <t>portrait</t>
        </is>
      </c>
      <c r="H158" s="2" t="inlineStr">
        <is>
          <t>work_on_paper</t>
        </is>
      </c>
      <c r="I158" s="2" t="inlineStr">
        <is>
          <t>high</t>
        </is>
      </c>
      <c r="J158" s="2" t="inlineStr">
        <is>
          <t>ok</t>
        </is>
      </c>
      <c r="K158" s="2" t="inlineStr">
        <is>
          <t>yes</t>
        </is>
      </c>
      <c r="L158" s="2" t="inlineStr">
        <is>
          <t>pencil drawing; nameplate: Giorgi Natroshvili (verify)</t>
        </is>
      </c>
    </row>
    <row r="159">
      <c r="A159" s="2" t="inlineStr">
        <is>
          <t>A152-1</t>
        </is>
      </c>
      <c r="B159" s="2" t="inlineStr">
        <is>
          <t>A152</t>
        </is>
      </c>
      <c r="C159" s="2" t="inlineStr">
        <is>
          <t>IMG_0950.JPG</t>
        </is>
      </c>
      <c r="D159" s="2" t="inlineStr"/>
      <c r="E159" s="2" t="inlineStr"/>
      <c r="F159" s="2" t="inlineStr"/>
      <c r="G159" s="2" t="inlineStr">
        <is>
          <t>portrait</t>
        </is>
      </c>
      <c r="H159" s="2" t="inlineStr">
        <is>
          <t>work_on_paper</t>
        </is>
      </c>
      <c r="I159" s="2" t="inlineStr">
        <is>
          <t>low</t>
        </is>
      </c>
      <c r="J159" s="2" t="inlineStr">
        <is>
          <t>angle</t>
        </is>
      </c>
      <c r="K159" s="2" t="inlineStr">
        <is>
          <t>yes</t>
        </is>
      </c>
      <c r="L159" s="2" t="inlineStr">
        <is>
          <t>mixed media on paper; Georgian nameplate</t>
        </is>
      </c>
    </row>
    <row r="160">
      <c r="A160" s="2" t="inlineStr">
        <is>
          <t>A150-2</t>
        </is>
      </c>
      <c r="B160" s="2" t="inlineStr">
        <is>
          <t>A150</t>
        </is>
      </c>
      <c r="C160" s="2" t="inlineStr">
        <is>
          <t>IMG_0951.JPG</t>
        </is>
      </c>
      <c r="D160" s="2" t="inlineStr"/>
      <c r="E160" s="2" t="inlineStr"/>
      <c r="F160" s="2" t="inlineStr"/>
      <c r="G160" s="2" t="inlineStr">
        <is>
          <t>portrait</t>
        </is>
      </c>
      <c r="H160" s="2" t="inlineStr">
        <is>
          <t>work_on_paper</t>
        </is>
      </c>
      <c r="I160" s="2" t="inlineStr">
        <is>
          <t>high</t>
        </is>
      </c>
      <c r="J160" s="2" t="inlineStr">
        <is>
          <t>ok</t>
        </is>
      </c>
      <c r="K160" s="2" t="inlineStr">
        <is>
          <t>yes</t>
        </is>
      </c>
      <c r="L160" s="2" t="inlineStr">
        <is>
          <t>second photo of A150 (same artwork)</t>
        </is>
      </c>
    </row>
    <row r="161">
      <c r="A161" s="2" t="inlineStr">
        <is>
          <t>A153-1</t>
        </is>
      </c>
      <c r="B161" s="2" t="inlineStr">
        <is>
          <t>A153</t>
        </is>
      </c>
      <c r="C161" s="2" t="inlineStr">
        <is>
          <t>IMG_0952.JPG</t>
        </is>
      </c>
      <c r="D161" s="2" t="inlineStr"/>
      <c r="E161" s="2" t="inlineStr"/>
      <c r="F161" s="2" t="inlineStr"/>
      <c r="G161" s="2" t="inlineStr">
        <is>
          <t>portrait</t>
        </is>
      </c>
      <c r="H161" s="2" t="inlineStr">
        <is>
          <t>work_on_paper</t>
        </is>
      </c>
      <c r="I161" s="2" t="inlineStr">
        <is>
          <t>high</t>
        </is>
      </c>
      <c r="J161" s="2" t="inlineStr">
        <is>
          <t>angle</t>
        </is>
      </c>
      <c r="K161" s="2" t="inlineStr">
        <is>
          <t>yes</t>
        </is>
      </c>
      <c r="L161" s="2" t="inlineStr">
        <is>
          <t>pencil drawing; nameplate: Giorgi Akhvlediani (verify)</t>
        </is>
      </c>
    </row>
    <row r="162">
      <c r="A162" s="2" t="inlineStr">
        <is>
          <t>A154-1</t>
        </is>
      </c>
      <c r="B162" s="2" t="inlineStr">
        <is>
          <t>A154</t>
        </is>
      </c>
      <c r="C162" s="2" t="inlineStr">
        <is>
          <t>IMG_0953.JPG</t>
        </is>
      </c>
      <c r="D162" s="2" t="inlineStr"/>
      <c r="E162" s="2" t="inlineStr"/>
      <c r="F162" s="2" t="inlineStr"/>
      <c r="G162" s="2" t="inlineStr">
        <is>
          <t>portrait</t>
        </is>
      </c>
      <c r="H162" s="2" t="inlineStr">
        <is>
          <t>work_on_paper</t>
        </is>
      </c>
      <c r="I162" s="2" t="inlineStr">
        <is>
          <t>high</t>
        </is>
      </c>
      <c r="J162" s="2" t="inlineStr">
        <is>
          <t>angle</t>
        </is>
      </c>
      <c r="K162" s="2" t="inlineStr">
        <is>
          <t>yes</t>
        </is>
      </c>
      <c r="L162" s="2" t="inlineStr">
        <is>
          <t>nameplate: Veriko Anjaparidze (verify)</t>
        </is>
      </c>
    </row>
    <row r="163">
      <c r="A163" s="2" t="inlineStr">
        <is>
          <t>A155-1</t>
        </is>
      </c>
      <c r="B163" s="2" t="inlineStr">
        <is>
          <t>A155</t>
        </is>
      </c>
      <c r="C163" s="2" t="inlineStr">
        <is>
          <t>IMG_0954.JPG</t>
        </is>
      </c>
      <c r="D163" s="2" t="inlineStr"/>
      <c r="E163" s="2" t="inlineStr"/>
      <c r="F163" s="2" t="inlineStr"/>
      <c r="G163" s="2" t="inlineStr">
        <is>
          <t>portrait</t>
        </is>
      </c>
      <c r="H163" s="2" t="inlineStr">
        <is>
          <t>work_on_paper</t>
        </is>
      </c>
      <c r="I163" s="2" t="inlineStr">
        <is>
          <t>high</t>
        </is>
      </c>
      <c r="J163" s="2" t="inlineStr">
        <is>
          <t>ok</t>
        </is>
      </c>
      <c r="K163" s="2" t="inlineStr">
        <is>
          <t>yes</t>
        </is>
      </c>
      <c r="L163" s="2" t="inlineStr">
        <is>
          <t>pastel; Georgian nameplate</t>
        </is>
      </c>
    </row>
    <row r="164">
      <c r="A164" s="2" t="inlineStr">
        <is>
          <t>A156-1</t>
        </is>
      </c>
      <c r="B164" s="2" t="inlineStr">
        <is>
          <t>A156</t>
        </is>
      </c>
      <c r="C164" s="2" t="inlineStr">
        <is>
          <t>IMG_0955.JPG</t>
        </is>
      </c>
      <c r="D164" s="2" t="inlineStr"/>
      <c r="E164" s="2" t="inlineStr"/>
      <c r="F164" s="2" t="inlineStr"/>
      <c r="G164" s="2" t="inlineStr">
        <is>
          <t>portrait</t>
        </is>
      </c>
      <c r="H164" s="2" t="inlineStr">
        <is>
          <t>work_on_paper</t>
        </is>
      </c>
      <c r="I164" s="2" t="inlineStr">
        <is>
          <t>high</t>
        </is>
      </c>
      <c r="J164" s="2" t="inlineStr">
        <is>
          <t>glare</t>
        </is>
      </c>
      <c r="K164" s="2" t="inlineStr">
        <is>
          <t>yes</t>
        </is>
      </c>
      <c r="L164" s="2" t="inlineStr">
        <is>
          <t>Georgian nameplate (sitter)</t>
        </is>
      </c>
    </row>
    <row r="165">
      <c r="A165" s="2" t="inlineStr">
        <is>
          <t>A157-1</t>
        </is>
      </c>
      <c r="B165" s="2" t="inlineStr">
        <is>
          <t>A157</t>
        </is>
      </c>
      <c r="C165" s="2" t="inlineStr">
        <is>
          <t>IMG_0956.JPG</t>
        </is>
      </c>
      <c r="D165" s="2" t="inlineStr"/>
      <c r="E165" s="2" t="inlineStr"/>
      <c r="F165" s="2" t="inlineStr"/>
      <c r="G165" s="2" t="inlineStr">
        <is>
          <t>portrait</t>
        </is>
      </c>
      <c r="H165" s="2" t="inlineStr">
        <is>
          <t>work_on_paper</t>
        </is>
      </c>
      <c r="I165" s="2" t="inlineStr">
        <is>
          <t>high</t>
        </is>
      </c>
      <c r="J165" s="2" t="inlineStr">
        <is>
          <t>angle</t>
        </is>
      </c>
      <c r="K165" s="2" t="inlineStr">
        <is>
          <t>yes</t>
        </is>
      </c>
      <c r="L165" s="2" t="inlineStr">
        <is>
          <t>nameplate: Yevgeny Yevtushenko (verify)</t>
        </is>
      </c>
    </row>
    <row r="166">
      <c r="A166" s="2" t="inlineStr">
        <is>
          <t>A158-1</t>
        </is>
      </c>
      <c r="B166" s="2" t="inlineStr">
        <is>
          <t>A158</t>
        </is>
      </c>
      <c r="C166" s="2" t="inlineStr">
        <is>
          <t>IMG_0957.JPG</t>
        </is>
      </c>
      <c r="D166" s="2" t="inlineStr"/>
      <c r="E166" s="2" t="inlineStr"/>
      <c r="F166" s="2" t="inlineStr"/>
      <c r="G166" s="2" t="inlineStr">
        <is>
          <t>portrait</t>
        </is>
      </c>
      <c r="H166" s="2" t="inlineStr">
        <is>
          <t>work_on_paper</t>
        </is>
      </c>
      <c r="I166" s="2" t="inlineStr">
        <is>
          <t>high</t>
        </is>
      </c>
      <c r="J166" s="2" t="inlineStr">
        <is>
          <t>ok</t>
        </is>
      </c>
      <c r="K166" s="2" t="inlineStr">
        <is>
          <t>yes</t>
        </is>
      </c>
      <c r="L166" s="2" t="inlineStr">
        <is>
          <t>nameplate: Evgeni Kharadze (verify)</t>
        </is>
      </c>
    </row>
    <row r="167">
      <c r="A167" s="2" t="inlineStr">
        <is>
          <t>A159-1</t>
        </is>
      </c>
      <c r="B167" s="2" t="inlineStr">
        <is>
          <t>A159</t>
        </is>
      </c>
      <c r="C167" s="2" t="inlineStr">
        <is>
          <t>IMG_0958.JPG</t>
        </is>
      </c>
      <c r="D167" s="2" t="inlineStr"/>
      <c r="E167" s="2" t="inlineStr"/>
      <c r="F167" s="2" t="inlineStr"/>
      <c r="G167" s="2" t="inlineStr">
        <is>
          <t>portrait</t>
        </is>
      </c>
      <c r="H167" s="2" t="inlineStr">
        <is>
          <t>work_on_paper</t>
        </is>
      </c>
      <c r="I167" s="2" t="inlineStr">
        <is>
          <t>high</t>
        </is>
      </c>
      <c r="J167" s="2" t="inlineStr">
        <is>
          <t>ok</t>
        </is>
      </c>
      <c r="K167" s="2" t="inlineStr">
        <is>
          <t>yes</t>
        </is>
      </c>
      <c r="L167" s="2" t="inlineStr">
        <is>
          <t>charcoal drawing</t>
        </is>
      </c>
    </row>
    <row r="168">
      <c r="A168" s="2" t="inlineStr">
        <is>
          <t>A160-1</t>
        </is>
      </c>
      <c r="B168" s="2" t="inlineStr">
        <is>
          <t>A160</t>
        </is>
      </c>
      <c r="C168" s="2" t="inlineStr">
        <is>
          <t>IMG_0960.JPG</t>
        </is>
      </c>
      <c r="D168" s="2" t="inlineStr"/>
      <c r="E168" s="2" t="inlineStr"/>
      <c r="F168" s="2" t="inlineStr"/>
      <c r="G168" s="2" t="inlineStr">
        <is>
          <t>portrait</t>
        </is>
      </c>
      <c r="H168" s="2" t="inlineStr">
        <is>
          <t>work_on_paper</t>
        </is>
      </c>
      <c r="I168" s="2" t="inlineStr">
        <is>
          <t>high</t>
        </is>
      </c>
      <c r="J168" s="2" t="inlineStr">
        <is>
          <t>ok</t>
        </is>
      </c>
      <c r="K168" s="2" t="inlineStr">
        <is>
          <t>yes</t>
        </is>
      </c>
      <c r="L168" s="2" t="inlineStr">
        <is>
          <t>nameplate: Polikarpe Kakabadze (verify)</t>
        </is>
      </c>
    </row>
    <row r="169">
      <c r="A169" s="2" t="inlineStr">
        <is>
          <t>A161-1</t>
        </is>
      </c>
      <c r="B169" s="2" t="inlineStr">
        <is>
          <t>A161</t>
        </is>
      </c>
      <c r="C169" s="2" t="inlineStr">
        <is>
          <t>IMG_0961.JPG</t>
        </is>
      </c>
      <c r="D169" s="2" t="inlineStr"/>
      <c r="E169" s="2" t="inlineStr"/>
      <c r="F169" s="2" t="inlineStr"/>
      <c r="G169" s="2" t="inlineStr">
        <is>
          <t>portrait</t>
        </is>
      </c>
      <c r="H169" s="2" t="inlineStr">
        <is>
          <t>work_on_paper</t>
        </is>
      </c>
      <c r="I169" s="2" t="inlineStr">
        <is>
          <t>high</t>
        </is>
      </c>
      <c r="J169" s="2" t="inlineStr">
        <is>
          <t>angle</t>
        </is>
      </c>
      <c r="K169" s="2" t="inlineStr">
        <is>
          <t>yes</t>
        </is>
      </c>
      <c r="L169" s="2" t="inlineStr">
        <is>
          <t>half-length; nameplate: Ioseb Noneshvili (verify)</t>
        </is>
      </c>
    </row>
    <row r="170">
      <c r="A170" s="2" t="inlineStr">
        <is>
          <t>A162-1</t>
        </is>
      </c>
      <c r="B170" s="2" t="inlineStr">
        <is>
          <t>A162</t>
        </is>
      </c>
      <c r="C170" s="2" t="inlineStr">
        <is>
          <t>Levan Chogoshvili, „Aristocrats".JPG</t>
        </is>
      </c>
      <c r="D170" s="2" t="inlineStr">
        <is>
          <t>Levan Chogoshvili</t>
        </is>
      </c>
      <c r="E170" s="2" t="inlineStr">
        <is>
          <t>Aristocrats</t>
        </is>
      </c>
      <c r="F170" s="2" t="inlineStr"/>
      <c r="G170" s="2" t="inlineStr">
        <is>
          <t>abstract</t>
        </is>
      </c>
      <c r="H170" s="2" t="inlineStr">
        <is>
          <t>mixed_media</t>
        </is>
      </c>
      <c r="I170" s="2" t="inlineStr">
        <is>
          <t>low</t>
        </is>
      </c>
      <c r="J170" s="2" t="inlineStr">
        <is>
          <t>ok</t>
        </is>
      </c>
      <c r="K170" s="2" t="inlineStr">
        <is>
          <t>yes</t>
        </is>
      </c>
      <c r="L170" s="2" t="inlineStr">
        <is>
          <t>monotype-like, faint figures</t>
        </is>
      </c>
    </row>
    <row r="171">
      <c r="A171" s="2" t="inlineStr">
        <is>
          <t>A163-1</t>
        </is>
      </c>
      <c r="B171" s="2" t="inlineStr">
        <is>
          <t>A163</t>
        </is>
      </c>
      <c r="C171" s="2" t="inlineStr">
        <is>
          <t>IMG_0966.JPG</t>
        </is>
      </c>
      <c r="D171" s="2" t="inlineStr"/>
      <c r="E171" s="2" t="inlineStr"/>
      <c r="F171" s="2" t="inlineStr"/>
      <c r="G171" s="2" t="inlineStr">
        <is>
          <t>landscape</t>
        </is>
      </c>
      <c r="H171" s="2" t="inlineStr">
        <is>
          <t>work_on_paper</t>
        </is>
      </c>
      <c r="I171" s="2" t="inlineStr">
        <is>
          <t>high</t>
        </is>
      </c>
      <c r="J171" s="2" t="inlineStr">
        <is>
          <t>ok</t>
        </is>
      </c>
      <c r="K171" s="2" t="inlineStr">
        <is>
          <t>yes</t>
        </is>
      </c>
      <c r="L171" s="2" t="inlineStr">
        <is>
          <t>village; other frames in shot</t>
        </is>
      </c>
    </row>
    <row r="172">
      <c r="A172" s="2" t="inlineStr">
        <is>
          <t>A164-1</t>
        </is>
      </c>
      <c r="B172" s="2" t="inlineStr">
        <is>
          <t>A164</t>
        </is>
      </c>
      <c r="C172" s="2" t="inlineStr">
        <is>
          <t>IMG_0967.JPG</t>
        </is>
      </c>
      <c r="D172" s="2" t="inlineStr"/>
      <c r="E172" s="2" t="inlineStr"/>
      <c r="F172" s="2" t="inlineStr"/>
      <c r="G172" s="2" t="inlineStr">
        <is>
          <t>landscape</t>
        </is>
      </c>
      <c r="H172" s="2" t="inlineStr">
        <is>
          <t>work_on_paper</t>
        </is>
      </c>
      <c r="I172" s="2" t="inlineStr">
        <is>
          <t>high</t>
        </is>
      </c>
      <c r="J172" s="2" t="inlineStr">
        <is>
          <t>glare</t>
        </is>
      </c>
      <c r="K172" s="2" t="inlineStr">
        <is>
          <t>yes</t>
        </is>
      </c>
      <c r="L172" s="2" t="inlineStr">
        <is>
          <t>small pastel</t>
        </is>
      </c>
    </row>
    <row r="173">
      <c r="A173" s="2" t="inlineStr">
        <is>
          <t>A165-1</t>
        </is>
      </c>
      <c r="B173" s="2" t="inlineStr">
        <is>
          <t>A165</t>
        </is>
      </c>
      <c r="C173" s="2" t="inlineStr">
        <is>
          <t>IMG_0968.JPG</t>
        </is>
      </c>
      <c r="D173" s="2" t="inlineStr"/>
      <c r="E173" s="2" t="inlineStr"/>
      <c r="F173" s="2" t="inlineStr"/>
      <c r="G173" s="2" t="inlineStr">
        <is>
          <t>landscape</t>
        </is>
      </c>
      <c r="H173" s="2" t="inlineStr">
        <is>
          <t>work_on_paper</t>
        </is>
      </c>
      <c r="I173" s="2" t="inlineStr">
        <is>
          <t>high</t>
        </is>
      </c>
      <c r="J173" s="2" t="inlineStr">
        <is>
          <t>ok</t>
        </is>
      </c>
      <c r="K173" s="2" t="inlineStr">
        <is>
          <t>yes</t>
        </is>
      </c>
      <c r="L173" s="2" t="inlineStr">
        <is>
          <t>small, large mat</t>
        </is>
      </c>
    </row>
    <row r="174">
      <c r="A174" s="2" t="inlineStr">
        <is>
          <t>A166-1</t>
        </is>
      </c>
      <c r="B174" s="2" t="inlineStr">
        <is>
          <t>A166</t>
        </is>
      </c>
      <c r="C174" s="2" t="inlineStr">
        <is>
          <t>IMG_0969.JPG</t>
        </is>
      </c>
      <c r="D174" s="2" t="inlineStr"/>
      <c r="E174" s="2" t="inlineStr"/>
      <c r="F174" s="2" t="inlineStr"/>
      <c r="G174" s="2" t="inlineStr">
        <is>
          <t>still_life</t>
        </is>
      </c>
      <c r="H174" s="2" t="inlineStr">
        <is>
          <t>painting</t>
        </is>
      </c>
      <c r="I174" s="2" t="inlineStr">
        <is>
          <t>high</t>
        </is>
      </c>
      <c r="J174" s="2" t="inlineStr">
        <is>
          <t>ok</t>
        </is>
      </c>
      <c r="K174" s="2" t="inlineStr">
        <is>
          <t>no</t>
        </is>
      </c>
      <c r="L174" s="2" t="inlineStr">
        <is>
          <t>flowers in vase; class 'still_life' too small, not used</t>
        </is>
      </c>
    </row>
    <row r="175">
      <c r="A175" s="2" t="inlineStr">
        <is>
          <t>A167-1</t>
        </is>
      </c>
      <c r="B175" s="2" t="inlineStr">
        <is>
          <t>A167</t>
        </is>
      </c>
      <c r="C175" s="2" t="inlineStr">
        <is>
          <t>IMG_0970.JPG</t>
        </is>
      </c>
      <c r="D175" s="2" t="inlineStr"/>
      <c r="E175" s="2" t="inlineStr"/>
      <c r="F175" s="2" t="inlineStr"/>
      <c r="G175" s="2" t="inlineStr">
        <is>
          <t>figurative</t>
        </is>
      </c>
      <c r="H175" s="2" t="inlineStr">
        <is>
          <t>work_on_paper</t>
        </is>
      </c>
      <c r="I175" s="2" t="inlineStr">
        <is>
          <t>high</t>
        </is>
      </c>
      <c r="J175" s="2" t="inlineStr">
        <is>
          <t>ok</t>
        </is>
      </c>
      <c r="K175" s="2" t="inlineStr">
        <is>
          <t>yes</t>
        </is>
      </c>
      <c r="L175" s="2" t="inlineStr">
        <is>
          <t>reclining nude</t>
        </is>
      </c>
    </row>
    <row r="176">
      <c r="A176" s="2" t="inlineStr">
        <is>
          <t>A168-1</t>
        </is>
      </c>
      <c r="B176" s="2" t="inlineStr">
        <is>
          <t>A168</t>
        </is>
      </c>
      <c r="C176" s="2" t="inlineStr">
        <is>
          <t>IMG_0971.JPG</t>
        </is>
      </c>
      <c r="D176" s="2" t="inlineStr"/>
      <c r="E176" s="2" t="inlineStr"/>
      <c r="F176" s="2" t="inlineStr"/>
      <c r="G176" s="2" t="inlineStr">
        <is>
          <t>landscape</t>
        </is>
      </c>
      <c r="H176" s="2" t="inlineStr">
        <is>
          <t>work_on_paper</t>
        </is>
      </c>
      <c r="I176" s="2" t="inlineStr">
        <is>
          <t>high</t>
        </is>
      </c>
      <c r="J176" s="2" t="inlineStr">
        <is>
          <t>glare</t>
        </is>
      </c>
      <c r="K176" s="2" t="inlineStr">
        <is>
          <t>yes</t>
        </is>
      </c>
      <c r="L176" s="2" t="inlineStr"/>
    </row>
    <row r="177">
      <c r="A177" s="2" t="inlineStr">
        <is>
          <t>A169-1</t>
        </is>
      </c>
      <c r="B177" s="2" t="inlineStr">
        <is>
          <t>A169</t>
        </is>
      </c>
      <c r="C177" s="2" t="inlineStr">
        <is>
          <t>IMG_0972.JPG</t>
        </is>
      </c>
      <c r="D177" s="2" t="inlineStr"/>
      <c r="E177" s="2" t="inlineStr"/>
      <c r="F177" s="2" t="inlineStr"/>
      <c r="G177" s="2" t="inlineStr">
        <is>
          <t>figurative</t>
        </is>
      </c>
      <c r="H177" s="2" t="inlineStr">
        <is>
          <t>work_on_paper</t>
        </is>
      </c>
      <c r="I177" s="2" t="inlineStr">
        <is>
          <t>high</t>
        </is>
      </c>
      <c r="J177" s="2" t="inlineStr">
        <is>
          <t>ok</t>
        </is>
      </c>
      <c r="K177" s="2" t="inlineStr">
        <is>
          <t>yes</t>
        </is>
      </c>
      <c r="L177" s="2" t="inlineStr">
        <is>
          <t>standing nude</t>
        </is>
      </c>
    </row>
    <row r="178">
      <c r="A178" s="2" t="inlineStr">
        <is>
          <t>A170-1</t>
        </is>
      </c>
      <c r="B178" s="2" t="inlineStr">
        <is>
          <t>A170</t>
        </is>
      </c>
      <c r="C178" s="2" t="inlineStr">
        <is>
          <t>IMG_0973.JPG</t>
        </is>
      </c>
      <c r="D178" s="2" t="inlineStr"/>
      <c r="E178" s="2" t="inlineStr"/>
      <c r="F178" s="2" t="inlineStr"/>
      <c r="G178" s="2" t="inlineStr">
        <is>
          <t>landscape</t>
        </is>
      </c>
      <c r="H178" s="2" t="inlineStr">
        <is>
          <t>work_on_paper</t>
        </is>
      </c>
      <c r="I178" s="2" t="inlineStr">
        <is>
          <t>high</t>
        </is>
      </c>
      <c r="J178" s="2" t="inlineStr">
        <is>
          <t>ok</t>
        </is>
      </c>
      <c r="K178" s="2" t="inlineStr">
        <is>
          <t>yes</t>
        </is>
      </c>
      <c r="L178" s="2" t="inlineStr">
        <is>
          <t>church between trees</t>
        </is>
      </c>
    </row>
    <row r="179">
      <c r="A179" s="2" t="inlineStr">
        <is>
          <t>A171-1</t>
        </is>
      </c>
      <c r="B179" s="2" t="inlineStr">
        <is>
          <t>A171</t>
        </is>
      </c>
      <c r="C179" s="2" t="inlineStr">
        <is>
          <t>IMG_0974.JPG</t>
        </is>
      </c>
      <c r="D179" s="2" t="inlineStr"/>
      <c r="E179" s="2" t="inlineStr"/>
      <c r="F179" s="2" t="inlineStr"/>
      <c r="G179" s="2" t="inlineStr">
        <is>
          <t>landscape</t>
        </is>
      </c>
      <c r="H179" s="2" t="inlineStr">
        <is>
          <t>work_on_paper</t>
        </is>
      </c>
      <c r="I179" s="2" t="inlineStr">
        <is>
          <t>high</t>
        </is>
      </c>
      <c r="J179" s="2" t="inlineStr">
        <is>
          <t>ok</t>
        </is>
      </c>
      <c r="K179" s="2" t="inlineStr">
        <is>
          <t>yes</t>
        </is>
      </c>
      <c r="L179" s="2" t="inlineStr">
        <is>
          <t>village with figures</t>
        </is>
      </c>
    </row>
    <row r="180">
      <c r="A180" s="2" t="inlineStr">
        <is>
          <t>A172-1</t>
        </is>
      </c>
      <c r="B180" s="2" t="inlineStr">
        <is>
          <t>A172</t>
        </is>
      </c>
      <c r="C180" s="2" t="inlineStr">
        <is>
          <t>IMG_0975.JPG</t>
        </is>
      </c>
      <c r="D180" s="2" t="inlineStr"/>
      <c r="E180" s="2" t="inlineStr"/>
      <c r="F180" s="2" t="inlineStr"/>
      <c r="G180" s="2" t="inlineStr">
        <is>
          <t>landscape</t>
        </is>
      </c>
      <c r="H180" s="2" t="inlineStr">
        <is>
          <t>work_on_paper</t>
        </is>
      </c>
      <c r="I180" s="2" t="inlineStr">
        <is>
          <t>high</t>
        </is>
      </c>
      <c r="J180" s="2" t="inlineStr">
        <is>
          <t>ok</t>
        </is>
      </c>
      <c r="K180" s="2" t="inlineStr">
        <is>
          <t>yes</t>
        </is>
      </c>
      <c r="L180" s="2" t="inlineStr">
        <is>
          <t>village</t>
        </is>
      </c>
    </row>
    <row r="181">
      <c r="A181" s="2" t="inlineStr">
        <is>
          <t>A170-2</t>
        </is>
      </c>
      <c r="B181" s="2" t="inlineStr">
        <is>
          <t>A170</t>
        </is>
      </c>
      <c r="C181" s="2" t="inlineStr">
        <is>
          <t>IMG_0976.JPG</t>
        </is>
      </c>
      <c r="D181" s="2" t="inlineStr"/>
      <c r="E181" s="2" t="inlineStr"/>
      <c r="F181" s="2" t="inlineStr"/>
      <c r="G181" s="2" t="inlineStr">
        <is>
          <t>landscape</t>
        </is>
      </c>
      <c r="H181" s="2" t="inlineStr">
        <is>
          <t>work_on_paper</t>
        </is>
      </c>
      <c r="I181" s="2" t="inlineStr">
        <is>
          <t>high</t>
        </is>
      </c>
      <c r="J181" s="2" t="inlineStr">
        <is>
          <t>ok</t>
        </is>
      </c>
      <c r="K181" s="2" t="inlineStr">
        <is>
          <t>yes</t>
        </is>
      </c>
      <c r="L181" s="2" t="inlineStr">
        <is>
          <t>second photo of A170 (same artwork)</t>
        </is>
      </c>
    </row>
    <row r="182">
      <c r="A182" s="2" t="inlineStr">
        <is>
          <t>A173-1</t>
        </is>
      </c>
      <c r="B182" s="2" t="inlineStr">
        <is>
          <t>A173</t>
        </is>
      </c>
      <c r="C182" s="2" t="inlineStr">
        <is>
          <t>IMG_0977.JPG</t>
        </is>
      </c>
      <c r="D182" s="2" t="inlineStr"/>
      <c r="E182" s="2" t="inlineStr"/>
      <c r="F182" s="2" t="inlineStr"/>
      <c r="G182" s="2" t="inlineStr">
        <is>
          <t>figurative</t>
        </is>
      </c>
      <c r="H182" s="2" t="inlineStr">
        <is>
          <t>work_on_paper</t>
        </is>
      </c>
      <c r="I182" s="2" t="inlineStr">
        <is>
          <t>high</t>
        </is>
      </c>
      <c r="J182" s="2" t="inlineStr">
        <is>
          <t>glare</t>
        </is>
      </c>
      <c r="K182" s="2" t="inlineStr">
        <is>
          <t>yes</t>
        </is>
      </c>
      <c r="L182" s="2" t="inlineStr">
        <is>
          <t>couple with accordion</t>
        </is>
      </c>
    </row>
    <row r="183">
      <c r="A183" s="2" t="inlineStr">
        <is>
          <t>X-182</t>
        </is>
      </c>
      <c r="B183" s="2" t="inlineStr"/>
      <c r="C183" s="2" t="inlineStr">
        <is>
          <t>IMG_0979.JPG</t>
        </is>
      </c>
      <c r="D183" s="2" t="inlineStr"/>
      <c r="E183" s="2" t="inlineStr"/>
      <c r="F183" s="2" t="inlineStr"/>
      <c r="G183" s="2" t="inlineStr"/>
      <c r="H183" s="2" t="inlineStr"/>
      <c r="I183" s="2" t="inlineStr"/>
      <c r="J183" s="2" t="inlineStr"/>
      <c r="K183" s="2" t="inlineStr">
        <is>
          <t>no</t>
        </is>
      </c>
      <c r="L183" s="2" t="inlineStr">
        <is>
          <t>several artworks in one photo</t>
        </is>
      </c>
    </row>
    <row r="184">
      <c r="A184" s="2" t="inlineStr">
        <is>
          <t>X-183</t>
        </is>
      </c>
      <c r="B184" s="2" t="inlineStr"/>
      <c r="C184" s="2" t="inlineStr">
        <is>
          <t>IMG_0981.JPG</t>
        </is>
      </c>
      <c r="D184" s="2" t="inlineStr"/>
      <c r="E184" s="2" t="inlineStr"/>
      <c r="F184" s="2" t="inlineStr"/>
      <c r="G184" s="2" t="inlineStr"/>
      <c r="H184" s="2" t="inlineStr"/>
      <c r="I184" s="2" t="inlineStr"/>
      <c r="J184" s="2" t="inlineStr"/>
      <c r="K184" s="2" t="inlineStr">
        <is>
          <t>no</t>
        </is>
      </c>
      <c r="L184" s="2" t="inlineStr">
        <is>
          <t>several artworks in one photo</t>
        </is>
      </c>
    </row>
    <row r="185">
      <c r="A185" s="2" t="inlineStr">
        <is>
          <t>X-184</t>
        </is>
      </c>
      <c r="B185" s="2" t="inlineStr"/>
      <c r="C185" s="2" t="inlineStr">
        <is>
          <t>IMG_0982.JPG</t>
        </is>
      </c>
      <c r="D185" s="2" t="inlineStr"/>
      <c r="E185" s="2" t="inlineStr"/>
      <c r="F185" s="2" t="inlineStr"/>
      <c r="G185" s="2" t="inlineStr"/>
      <c r="H185" s="2" t="inlineStr"/>
      <c r="I185" s="2" t="inlineStr"/>
      <c r="J185" s="2" t="inlineStr"/>
      <c r="K185" s="2" t="inlineStr">
        <is>
          <t>no</t>
        </is>
      </c>
      <c r="L185" s="2" t="inlineStr">
        <is>
          <t>several artworks in one photo</t>
        </is>
      </c>
    </row>
    <row r="186">
      <c r="A186" s="2" t="inlineStr">
        <is>
          <t>X-185</t>
        </is>
      </c>
      <c r="B186" s="2" t="inlineStr"/>
      <c r="C186" s="2" t="inlineStr">
        <is>
          <t>IMG_0983.JPG</t>
        </is>
      </c>
      <c r="D186" s="2" t="inlineStr"/>
      <c r="E186" s="2" t="inlineStr"/>
      <c r="F186" s="2" t="inlineStr"/>
      <c r="G186" s="2" t="inlineStr"/>
      <c r="H186" s="2" t="inlineStr"/>
      <c r="I186" s="2" t="inlineStr"/>
      <c r="J186" s="2" t="inlineStr"/>
      <c r="K186" s="2" t="inlineStr">
        <is>
          <t>no</t>
        </is>
      </c>
      <c r="L186" s="2" t="inlineStr">
        <is>
          <t>several artworks in one photo</t>
        </is>
      </c>
    </row>
    <row r="187">
      <c r="A187" s="2" t="inlineStr">
        <is>
          <t>X-186</t>
        </is>
      </c>
      <c r="B187" s="2" t="inlineStr"/>
      <c r="C187" s="2" t="inlineStr">
        <is>
          <t>IMG_0984.JPG</t>
        </is>
      </c>
      <c r="D187" s="2" t="inlineStr"/>
      <c r="E187" s="2" t="inlineStr"/>
      <c r="F187" s="2" t="inlineStr"/>
      <c r="G187" s="2" t="inlineStr"/>
      <c r="H187" s="2" t="inlineStr"/>
      <c r="I187" s="2" t="inlineStr"/>
      <c r="J187" s="2" t="inlineStr"/>
      <c r="K187" s="2" t="inlineStr">
        <is>
          <t>no</t>
        </is>
      </c>
      <c r="L187" s="2" t="inlineStr">
        <is>
          <t>several artworks in one photo</t>
        </is>
      </c>
    </row>
  </sheetData>
  <autoFilter ref="A1:L187"/>
  <conditionalFormatting sqref="A2:L187">
    <cfRule type="expression" priority="1" dxfId="0">
      <formula>$K2="no"</formula>
    </cfRule>
  </conditionalFormatting>
  <conditionalFormatting sqref="I2:I187">
    <cfRule type="expression" priority="2" dxfId="1">
      <formula>$I2="low"</formula>
    </cfRule>
  </conditionalFormatting>
  <dataValidations count="5">
    <dataValidation sqref="G2:G187" showDropDown="0" showInputMessage="0" showErrorMessage="0" allowBlank="1" type="list">
      <formula1>"landscape,figurative,abstract,portrait,still_life,other"</formula1>
    </dataValidation>
    <dataValidation sqref="H2:H187" showDropDown="0" showInputMessage="0" showErrorMessage="0" allowBlank="1" type="list">
      <formula1>"painting,work_on_paper,mixed_media"</formula1>
    </dataValidation>
    <dataValidation sqref="I2:I187" showDropDown="0" showInputMessage="0" showErrorMessage="0" allowBlank="1" type="list">
      <formula1>"high,low"</formula1>
    </dataValidation>
    <dataValidation sqref="J2:J187" showDropDown="0" showInputMessage="0" showErrorMessage="0" allowBlank="1" type="list">
      <formula1>"ok,glare,reflection,angle,small"</formula1>
    </dataValidation>
    <dataValidation sqref="K2:K187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6" customWidth="1" min="3" max="3"/>
    <col width="20" customWidth="1" min="4" max="4"/>
  </cols>
  <sheetData>
    <row r="1">
      <c r="A1" s="3" t="inlineStr">
        <is>
          <t>Counts are of unique artworks (one row per artwork_id), computed from the metadata sheet.</t>
        </is>
      </c>
    </row>
    <row r="3">
      <c r="A3" s="4" t="inlineStr">
        <is>
          <t>genre</t>
        </is>
      </c>
      <c r="B3" s="4" t="inlineStr">
        <is>
          <t>artworks</t>
        </is>
      </c>
      <c r="C3" s="4" t="inlineStr">
        <is>
          <t>high confidence</t>
        </is>
      </c>
      <c r="D3" s="4" t="inlineStr">
        <is>
          <t>used in experiments</t>
        </is>
      </c>
    </row>
    <row r="4">
      <c r="A4" t="inlineStr">
        <is>
          <t>landscape</t>
        </is>
      </c>
      <c r="B4">
        <f>SUMPRODUCT((metadata!$G$2:$G$187="landscape")*(RIGHT(metadata!$A$2:$A$187,2)="-1"))</f>
        <v/>
      </c>
      <c r="C4">
        <f>SUMPRODUCT((metadata!$G$2:$G$187="landscape")*(metadata!$I$2:$I$187="high")*(RIGHT(metadata!$A$2:$A$187,2)="-1"))</f>
        <v/>
      </c>
      <c r="D4" t="inlineStr">
        <is>
          <t>yes</t>
        </is>
      </c>
    </row>
    <row r="5">
      <c r="A5" t="inlineStr">
        <is>
          <t>figurative</t>
        </is>
      </c>
      <c r="B5">
        <f>SUMPRODUCT((metadata!$G$2:$G$187="figurative")*(RIGHT(metadata!$A$2:$A$187,2)="-1"))</f>
        <v/>
      </c>
      <c r="C5">
        <f>SUMPRODUCT((metadata!$G$2:$G$187="figurative")*(metadata!$I$2:$I$187="high")*(RIGHT(metadata!$A$2:$A$187,2)="-1"))</f>
        <v/>
      </c>
      <c r="D5" t="inlineStr">
        <is>
          <t>yes</t>
        </is>
      </c>
    </row>
    <row r="6">
      <c r="A6" t="inlineStr">
        <is>
          <t>abstract</t>
        </is>
      </c>
      <c r="B6">
        <f>SUMPRODUCT((metadata!$G$2:$G$187="abstract")*(RIGHT(metadata!$A$2:$A$187,2)="-1"))</f>
        <v/>
      </c>
      <c r="C6">
        <f>SUMPRODUCT((metadata!$G$2:$G$187="abstract")*(metadata!$I$2:$I$187="high")*(RIGHT(metadata!$A$2:$A$187,2)="-1"))</f>
        <v/>
      </c>
      <c r="D6" t="inlineStr">
        <is>
          <t>yes</t>
        </is>
      </c>
    </row>
    <row r="7">
      <c r="A7" t="inlineStr">
        <is>
          <t>portrait</t>
        </is>
      </c>
      <c r="B7">
        <f>SUMPRODUCT((metadata!$G$2:$G$187="portrait")*(RIGHT(metadata!$A$2:$A$187,2)="-1"))</f>
        <v/>
      </c>
      <c r="C7">
        <f>SUMPRODUCT((metadata!$G$2:$G$187="portrait")*(metadata!$I$2:$I$187="high")*(RIGHT(metadata!$A$2:$A$187,2)="-1"))</f>
        <v/>
      </c>
      <c r="D7" t="inlineStr">
        <is>
          <t>yes</t>
        </is>
      </c>
    </row>
    <row r="8">
      <c r="A8" t="inlineStr">
        <is>
          <t>still_life</t>
        </is>
      </c>
      <c r="B8">
        <f>SUMPRODUCT((metadata!$G$2:$G$187="still_life")*(RIGHT(metadata!$A$2:$A$187,2)="-1"))</f>
        <v/>
      </c>
      <c r="C8">
        <f>SUMPRODUCT((metadata!$G$2:$G$187="still_life")*(metadata!$I$2:$I$187="high")*(RIGHT(metadata!$A$2:$A$187,2)="-1"))</f>
        <v/>
      </c>
      <c r="D8" t="inlineStr">
        <is>
          <t>no (too few)</t>
        </is>
      </c>
    </row>
    <row r="9">
      <c r="A9" t="inlineStr">
        <is>
          <t>other</t>
        </is>
      </c>
      <c r="B9">
        <f>SUMPRODUCT((metadata!$G$2:$G$187="other")*(RIGHT(metadata!$A$2:$A$187,2)="-1"))</f>
        <v/>
      </c>
      <c r="C9">
        <f>SUMPRODUCT((metadata!$G$2:$G$187="other")*(metadata!$I$2:$I$187="high")*(RIGHT(metadata!$A$2:$A$187,2)="-1"))</f>
        <v/>
      </c>
      <c r="D9" t="inlineStr">
        <is>
          <t>no (too few)</t>
        </is>
      </c>
    </row>
    <row r="10">
      <c r="A10" s="5" t="inlineStr">
        <is>
          <t>total</t>
        </is>
      </c>
      <c r="B10">
        <f>SUM(B4:B9)</f>
        <v/>
      </c>
      <c r="C10">
        <f>SUM(C4:C9)</f>
        <v/>
      </c>
      <c r="D10" t="inlineStr"/>
    </row>
    <row r="12">
      <c r="A12" s="4" t="inlineStr">
        <is>
          <t>medium</t>
        </is>
      </c>
      <c r="B12" s="4" t="inlineStr">
        <is>
          <t>artworks</t>
        </is>
      </c>
      <c r="C12" s="4" t="inlineStr">
        <is>
          <t>high confidence</t>
        </is>
      </c>
      <c r="D12" s="4" t="inlineStr">
        <is>
          <t>used in experiments</t>
        </is>
      </c>
    </row>
    <row r="13">
      <c r="A13" t="inlineStr">
        <is>
          <t>painting</t>
        </is>
      </c>
      <c r="B13">
        <f>SUMPRODUCT((metadata!$H$2:$H$187="painting")*(RIGHT(metadata!$A$2:$A$187,2)="-1"))</f>
        <v/>
      </c>
      <c r="C13">
        <f>SUMPRODUCT((metadata!$H$2:$H$187="painting")*(metadata!$I$2:$I$187="high")*(RIGHT(metadata!$A$2:$A$187,2)="-1"))</f>
        <v/>
      </c>
      <c r="D13" t="inlineStr">
        <is>
          <t>yes</t>
        </is>
      </c>
    </row>
    <row r="14">
      <c r="A14" t="inlineStr">
        <is>
          <t>work_on_paper</t>
        </is>
      </c>
      <c r="B14">
        <f>SUMPRODUCT((metadata!$H$2:$H$187="work_on_paper")*(RIGHT(metadata!$A$2:$A$187,2)="-1"))</f>
        <v/>
      </c>
      <c r="C14">
        <f>SUMPRODUCT((metadata!$H$2:$H$187="work_on_paper")*(metadata!$I$2:$I$187="high")*(RIGHT(metadata!$A$2:$A$187,2)="-1"))</f>
        <v/>
      </c>
      <c r="D14" t="inlineStr">
        <is>
          <t>yes</t>
        </is>
      </c>
    </row>
    <row r="15">
      <c r="A15" t="inlineStr">
        <is>
          <t>mixed_media</t>
        </is>
      </c>
      <c r="B15">
        <f>SUMPRODUCT((metadata!$H$2:$H$187="mixed_media")*(RIGHT(metadata!$A$2:$A$187,2)="-1"))</f>
        <v/>
      </c>
      <c r="C15">
        <f>SUMPRODUCT((metadata!$H$2:$H$187="mixed_media")*(metadata!$I$2:$I$187="high")*(RIGHT(metadata!$A$2:$A$187,2)="-1"))</f>
        <v/>
      </c>
      <c r="D15" t="inlineStr">
        <is>
          <t>no (too few)</t>
        </is>
      </c>
    </row>
    <row r="16">
      <c r="A16" s="5" t="inlineStr">
        <is>
          <t>total</t>
        </is>
      </c>
      <c r="B16">
        <f>SUM(B13:B15)</f>
        <v/>
      </c>
      <c r="C16">
        <f>SUM(C13:C15)</f>
        <v/>
      </c>
      <c r="D16" t="inlineStr"/>
    </row>
    <row r="18">
      <c r="A18" t="inlineStr">
        <is>
          <t>photos in folder (JPG)</t>
        </is>
      </c>
      <c r="B18">
        <f>COUNTA(metadata!A2:A187)</f>
        <v/>
      </c>
    </row>
    <row r="19">
      <c r="A19" t="inlineStr">
        <is>
          <t>photos excluded</t>
        </is>
      </c>
      <c r="B19">
        <f>COUNTIF(metadata!A2:A187,"X-*")</f>
        <v/>
      </c>
    </row>
    <row r="20">
      <c r="A20" t="inlineStr">
        <is>
          <t>unique artworks</t>
        </is>
      </c>
      <c r="B20">
        <f>COUNTIF(metadata!A2:A187,"*-1")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4" t="inlineStr">
        <is>
          <t>Field</t>
        </is>
      </c>
      <c r="B1" s="4" t="inlineStr">
        <is>
          <t>Rule</t>
        </is>
      </c>
    </row>
    <row r="2">
      <c r="A2" s="5" t="inlineStr">
        <is>
          <t>image_id</t>
        </is>
      </c>
      <c r="B2" s="6" t="inlineStr">
        <is>
          <t>A###-n = artwork number (in order photographed) + photo number of that artwork. X-### = excluded photo (### = capture order).</t>
        </is>
      </c>
    </row>
    <row r="3">
      <c r="A3" s="5" t="inlineStr">
        <is>
          <t>artwork_id</t>
        </is>
      </c>
      <c r="B3" s="6" t="inlineStr">
        <is>
          <t>Same physical artwork = same ID. Always split train/test by this column, never by image.</t>
        </is>
      </c>
    </row>
    <row r="4">
      <c r="A4" s="5" t="inlineStr">
        <is>
          <t>portrait</t>
        </is>
      </c>
      <c r="B4" s="6" t="inlineStr">
        <is>
          <t>One or two people where the face or upper body is the main subject (incl. equestrian portraits).</t>
        </is>
      </c>
    </row>
    <row r="5">
      <c r="A5" s="5" t="inlineStr">
        <is>
          <t>landscape</t>
        </is>
      </c>
      <c r="B5" s="6" t="inlineStr">
        <is>
          <t>Outdoor scenery: nature, village, cityscape, seascape. Small figures allowed if the place dominates.</t>
        </is>
      </c>
    </row>
    <row r="6">
      <c r="A6" s="5" t="inlineStr">
        <is>
          <t>figurative</t>
        </is>
      </c>
      <c r="B6" s="6" t="inlineStr">
        <is>
          <t>People, animals or scenes that are not a portrait: groups, full-body figures, nudes, religious and history scenes.</t>
        </is>
      </c>
    </row>
    <row r="7">
      <c r="A7" s="5" t="inlineStr">
        <is>
          <t>abstract</t>
        </is>
      </c>
      <c r="B7" s="6" t="inlineStr">
        <is>
          <t>No clearly recognisable subject. Semi-abstract works are abstract with label_confidence = low.</t>
        </is>
      </c>
    </row>
    <row r="8">
      <c r="A8" s="5" t="inlineStr">
        <is>
          <t>still_life / other</t>
        </is>
      </c>
      <c r="B8" s="6" t="inlineStr">
        <is>
          <t>Arranged objects or flowers / interiors and decorative designs. Too few artworks, not used.</t>
        </is>
      </c>
    </row>
    <row r="9">
      <c r="A9" s="5" t="inlineStr">
        <is>
          <t>painting</t>
        </is>
      </c>
      <c r="B9" s="6" t="inlineStr">
        <is>
          <t>Oil or acrylic on canvas or board, usually without glass.</t>
        </is>
      </c>
    </row>
    <row r="10">
      <c r="A10" s="5" t="inlineStr">
        <is>
          <t>work_on_paper</t>
        </is>
      </c>
      <c r="B10" s="6" t="inlineStr">
        <is>
          <t>Drawing, pastel, watercolour, print, lithograph, etching, poster. Usually behind glass with a mat.</t>
        </is>
      </c>
    </row>
    <row r="11">
      <c r="A11" s="5" t="inlineStr">
        <is>
          <t>mixed_media</t>
        </is>
      </c>
      <c r="B11" s="6" t="inlineStr">
        <is>
          <t>Collage or assemblage. Too few, not used.</t>
        </is>
      </c>
    </row>
    <row r="12">
      <c r="A12" s="5" t="inlineStr">
        <is>
          <t>label_confidence</t>
        </is>
      </c>
      <c r="B12" s="6" t="inlineStr">
        <is>
          <t>low = the genre or medium could reasonably be argued differently. Report results with and without these.</t>
        </is>
      </c>
    </row>
    <row r="13">
      <c r="A13" s="5" t="inlineStr">
        <is>
          <t>photo_quality</t>
        </is>
      </c>
      <c r="B13" s="6" t="inlineStr">
        <is>
          <t>ok, glare, reflection, angle, small (artwork small in frame). Use for failure analysis.</t>
        </is>
      </c>
    </row>
    <row r="14">
      <c r="A14" s="5" t="inlineStr">
        <is>
          <t>Source of text</t>
        </is>
      </c>
      <c r="B14" s="6" t="inlineStr">
        <is>
          <t>Artist/title/year come from the original file names or wall labels. Names marked (verify) were read from Georgian nameplates and need checking.</t>
        </is>
      </c>
    </row>
    <row r="15">
      <c r="A15" s="5" t="inlineStr">
        <is>
          <t>Not included</t>
        </is>
      </c>
      <c r="B15" s="6" t="inlineStr">
        <is>
          <t>1 HEIC photo (Baratashvili, Shatili, 2015) was skipped as requested.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2026-10-12T10:00:23Z</dcterms:created>
  <dcterms:modified xmlns:dcterms="http://purl.org/dc/terms/" xmlns:xsi="http://www.w3.org/2001/XMLSchema-instance" xsi:type="dcterms:W3CDTF">2026-10-12T10:00:23Z</dcterms:modified>
</cp:coreProperties>
</file>